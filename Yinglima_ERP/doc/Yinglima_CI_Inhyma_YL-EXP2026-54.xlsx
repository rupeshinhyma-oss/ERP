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athamesh\Invoices form YL\GJ07-01 EXP54\"/>
    </mc:Choice>
  </mc:AlternateContent>
  <xr:revisionPtr revIDLastSave="0" documentId="8_{F97B1504-318E-4AB0-AE0C-CED9C20CD5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I" sheetId="1" r:id="rId1"/>
    <sheet name="Packing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2" l="1"/>
  <c r="I19" i="2"/>
  <c r="H20" i="2"/>
  <c r="H19" i="2"/>
  <c r="D3" i="2"/>
  <c r="B3" i="2"/>
  <c r="L27" i="1"/>
  <c r="I27" i="1"/>
  <c r="J27" i="1" s="1"/>
  <c r="K27" i="1" s="1"/>
  <c r="L26" i="1"/>
  <c r="J26" i="1"/>
  <c r="K26" i="1" s="1"/>
  <c r="I26" i="1"/>
  <c r="L25" i="1"/>
  <c r="J25" i="1"/>
  <c r="K25" i="1" s="1"/>
  <c r="I25" i="1"/>
  <c r="L24" i="1"/>
  <c r="I24" i="1"/>
  <c r="J24" i="1" s="1"/>
  <c r="K24" i="1" s="1"/>
  <c r="L23" i="1"/>
  <c r="I23" i="1"/>
  <c r="J23" i="1" s="1"/>
  <c r="K23" i="1" s="1"/>
  <c r="L22" i="1"/>
  <c r="I22" i="1"/>
  <c r="J22" i="1" s="1"/>
  <c r="K22" i="1" s="1"/>
  <c r="L21" i="1"/>
  <c r="I21" i="1"/>
  <c r="J21" i="1" s="1"/>
  <c r="K21" i="1" s="1"/>
  <c r="L20" i="1"/>
  <c r="I20" i="1"/>
  <c r="J20" i="1" s="1"/>
  <c r="K20" i="1" s="1"/>
  <c r="L19" i="1"/>
  <c r="I19" i="1"/>
  <c r="J19" i="1" s="1"/>
  <c r="K19" i="1" s="1"/>
  <c r="L18" i="1"/>
  <c r="I18" i="1"/>
  <c r="J18" i="1" s="1"/>
  <c r="K18" i="1" s="1"/>
  <c r="M18" i="1" s="1"/>
  <c r="L17" i="1"/>
  <c r="J17" i="1"/>
  <c r="K17" i="1" s="1"/>
  <c r="I17" i="1"/>
  <c r="L16" i="1"/>
  <c r="M16" i="1" s="1"/>
  <c r="I16" i="1"/>
  <c r="J16" i="1" s="1"/>
  <c r="K16" i="1" s="1"/>
  <c r="L13" i="1"/>
  <c r="K15" i="1"/>
  <c r="G27" i="2"/>
  <c r="F27" i="2"/>
  <c r="D27" i="2"/>
  <c r="B9" i="2"/>
  <c r="D6" i="2"/>
  <c r="A1" i="2"/>
  <c r="O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J15" i="1"/>
  <c r="I15" i="1"/>
  <c r="M21" i="1" l="1"/>
  <c r="F21" i="1" s="1"/>
  <c r="G21" i="1" s="1"/>
  <c r="M25" i="1"/>
  <c r="M22" i="1"/>
  <c r="F22" i="1" s="1"/>
  <c r="G22" i="1" s="1"/>
  <c r="M19" i="1"/>
  <c r="M23" i="1"/>
  <c r="F23" i="1" s="1"/>
  <c r="G23" i="1" s="1"/>
  <c r="M26" i="1"/>
  <c r="M17" i="1"/>
  <c r="F17" i="1" s="1"/>
  <c r="G17" i="1" s="1"/>
  <c r="M20" i="1"/>
  <c r="M24" i="1"/>
  <c r="F24" i="1" s="1"/>
  <c r="G24" i="1" s="1"/>
  <c r="M27" i="1"/>
  <c r="F27" i="1" s="1"/>
  <c r="G27" i="1"/>
  <c r="L15" i="1"/>
  <c r="M15" i="1" s="1"/>
  <c r="F15" i="1" s="1"/>
  <c r="G15" i="1" s="1"/>
  <c r="F16" i="1"/>
  <c r="G16" i="1" s="1"/>
  <c r="F18" i="1"/>
  <c r="G18" i="1" s="1"/>
  <c r="F19" i="1"/>
  <c r="G19" i="1" s="1"/>
  <c r="F20" i="1"/>
  <c r="G20" i="1" s="1"/>
  <c r="F25" i="1"/>
  <c r="G25" i="1" s="1"/>
  <c r="F26" i="1"/>
  <c r="G26" i="1" s="1"/>
  <c r="G28" i="1" l="1"/>
</calcChain>
</file>

<file path=xl/sharedStrings.xml><?xml version="1.0" encoding="utf-8"?>
<sst xmlns="http://schemas.openxmlformats.org/spreadsheetml/2006/main" count="166" uniqueCount="82">
  <si>
    <r>
      <rPr>
        <sz val="14"/>
        <color theme="1"/>
        <rFont val="Arial"/>
        <family val="2"/>
        <charset val="1"/>
      </rPr>
      <t xml:space="preserve"> YINGLIMA IMPORT&amp;EXPORT (WENZHOU) CO., LTD.
Email</t>
    </r>
    <r>
      <rPr>
        <sz val="14"/>
        <color theme="1"/>
        <rFont val="Noto Sans CJK SC"/>
        <family val="2"/>
      </rPr>
      <t>：</t>
    </r>
    <r>
      <rPr>
        <sz val="14"/>
        <color theme="1"/>
        <rFont val="Arial"/>
        <family val="2"/>
        <charset val="1"/>
      </rPr>
      <t>sales.yinglima@gmail.com
Mobile</t>
    </r>
    <r>
      <rPr>
        <sz val="14"/>
        <color theme="1"/>
        <rFont val="Noto Sans CJK SC"/>
        <family val="2"/>
      </rPr>
      <t>：</t>
    </r>
    <r>
      <rPr>
        <sz val="14"/>
        <color theme="1"/>
        <rFont val="Arial"/>
        <family val="2"/>
        <charset val="1"/>
      </rPr>
      <t xml:space="preserve">15068270160,Wechat:+91 8108294930
Address:Room 602, Sixth floor, Jinyu Business Building, Wenzhou Avenue, Nanhui Street, Lucheng District, Wenzhou City, Zhejiang Province
</t>
    </r>
  </si>
  <si>
    <t xml:space="preserve"> COMMERCIAL INVOICE</t>
  </si>
  <si>
    <t>Commercial Invoice No</t>
  </si>
  <si>
    <t>Date</t>
  </si>
  <si>
    <t>Shipper's Information</t>
  </si>
  <si>
    <t>Recipient's Information</t>
  </si>
  <si>
    <t>Company Name</t>
  </si>
  <si>
    <t>YINGLIMA IMPORT&amp;EXPORT (WENZHOU) CO., LTD.</t>
  </si>
  <si>
    <t>INHYMA SOLUTIONS LLP</t>
  </si>
  <si>
    <t>Address</t>
  </si>
  <si>
    <t>Room 602, Sixth floor, Jinyu Business Building, Wenzhou Avenue, Nanhui Street, Lucheng District, Wenzhou City, Zhejiang Province</t>
  </si>
  <si>
    <t>Ground Floor, Godown No:2,3,4, Prerna Complex, A-9,Mankoli Road, House Number :1692/A- 9/3, VAL.Bhiwandi, Thane, Maharashtra, 421302,INDIA.
GSTIN/UIN:27AAKFI9869H1ZL</t>
  </si>
  <si>
    <t>Contact Person</t>
  </si>
  <si>
    <t>Mr. Pawan Parulekar</t>
  </si>
  <si>
    <t>Mr.Prathamesh Bangar</t>
  </si>
  <si>
    <t>Phone Number</t>
  </si>
  <si>
    <t>150-6827-0160</t>
  </si>
  <si>
    <t>+91 95619 14519</t>
  </si>
  <si>
    <t>Email</t>
  </si>
  <si>
    <t>sales.yinglima@gmail.com</t>
  </si>
  <si>
    <t>Email ID</t>
  </si>
  <si>
    <t>prathamesh.darsh@gmail.com</t>
  </si>
  <si>
    <t>Terms of Payment: Full Payment After Documents</t>
  </si>
  <si>
    <t xml:space="preserve">Shiping Terms: CIF INDIA </t>
  </si>
  <si>
    <t>Delivery Time: Within 25 Working Days</t>
  </si>
  <si>
    <t>Shipment Information</t>
  </si>
  <si>
    <t>Sr.No</t>
  </si>
  <si>
    <t xml:space="preserve">Description </t>
  </si>
  <si>
    <t>HS CODE AS PER CHINA</t>
  </si>
  <si>
    <t>UOM</t>
  </si>
  <si>
    <t>Quantity</t>
  </si>
  <si>
    <t>Unit Price
(USD)</t>
  </si>
  <si>
    <t>Total Amount
(USD)</t>
  </si>
  <si>
    <t>Unit Price(RMB) Including VAT</t>
  </si>
  <si>
    <t>Unit Price(RMB) Excluding VAT</t>
  </si>
  <si>
    <t>Including Profit 3%</t>
  </si>
  <si>
    <t>FOB PRICE
(USD Conversion @6.7)</t>
  </si>
  <si>
    <t>Freight, Local charges,COC</t>
  </si>
  <si>
    <t>CFR Price/Unit</t>
  </si>
  <si>
    <t>Supplier</t>
  </si>
  <si>
    <t>Total CBM</t>
  </si>
  <si>
    <t>Total Supplier Amount</t>
  </si>
  <si>
    <t>PFS200 Hand Sealer</t>
  </si>
  <si>
    <t>8422.30.00</t>
  </si>
  <si>
    <t>NOS</t>
  </si>
  <si>
    <t>JN</t>
  </si>
  <si>
    <t>PSF450 Pedal Sealer</t>
  </si>
  <si>
    <t>PSF650 Pedal Sealer</t>
  </si>
  <si>
    <t>FR400 Band Sealer MSH</t>
  </si>
  <si>
    <t>8422.40.00</t>
  </si>
  <si>
    <t>LT</t>
  </si>
  <si>
    <t>DBF900L Band Sealer MSH</t>
  </si>
  <si>
    <t>DBF900L Band Sealer SSH</t>
  </si>
  <si>
    <t>LGYF2100B Continuous Induction sealer</t>
  </si>
  <si>
    <t>Stella</t>
  </si>
  <si>
    <t>DZ400 2B Vacuum machine</t>
  </si>
  <si>
    <t>DZ500 2B Vacuum machine</t>
  </si>
  <si>
    <t>FQL450 Auto L-sealer w/o Connect parts</t>
  </si>
  <si>
    <t>Yujun</t>
  </si>
  <si>
    <t>BSL4525 Shrink Tunnel</t>
  </si>
  <si>
    <t>BSB3020 Shrink Tunnel Chain</t>
  </si>
  <si>
    <t>BSB3020 Shrink Tunnel Roller</t>
  </si>
  <si>
    <t>Total Price CIF INDIA</t>
  </si>
  <si>
    <t>BANK ACCOUNT DETAILS FOR INWARD REMITTANCE USD</t>
  </si>
  <si>
    <t>RECEIVING BANK: INDUSTRIAL AND COMMERCIAL BANK OF CHINA,ZHEJIANG BRANCH
SWIFT BIC: ICBKCNBJZJP
BENEFICIARY NAME:YINGLIMA IMPORT&amp;EXPORT (WENZHOU) CO., LTD
ADDRESS:ROOM 1106 18, BUILDING 4, DEVELOPMENT BUILDING, NO.66, LINGRONG STREET, LINGKUN STREET, OUJIANGKOU INDUSTRIAL CLUSTER, WENZHOU, ZHEJIANG
A/C NO:1203202009814645910</t>
  </si>
  <si>
    <r>
      <rPr>
        <sz val="12"/>
        <color theme="1"/>
        <rFont val="Arial"/>
        <family val="2"/>
        <charset val="1"/>
      </rPr>
      <t xml:space="preserve">
Shipper's Signature 
and Stamp</t>
    </r>
    <r>
      <rPr>
        <sz val="12"/>
        <color theme="1"/>
        <rFont val="Noto Sans CJK SC"/>
        <family val="2"/>
      </rPr>
      <t>：</t>
    </r>
  </si>
  <si>
    <t>We hereby declare that above information is true and correct.</t>
  </si>
  <si>
    <t>PACKING LIST</t>
  </si>
  <si>
    <t>Packing List No</t>
  </si>
  <si>
    <t xml:space="preserve">INHYMA SOLUTIONS LLP			</t>
  </si>
  <si>
    <t>Mr. Prathmesh Bangar</t>
  </si>
  <si>
    <t>Shiping Terms: CIF INDIA</t>
  </si>
  <si>
    <t>PACKING INFORMATION</t>
  </si>
  <si>
    <t>Quantity in KGS/PCS</t>
  </si>
  <si>
    <t>PACKAGE</t>
  </si>
  <si>
    <t>UNIT OF MEASUREMENT</t>
  </si>
  <si>
    <t>Total in KG</t>
  </si>
  <si>
    <t>Net Weight</t>
  </si>
  <si>
    <t>Gr. Weight</t>
  </si>
  <si>
    <t xml:space="preserve">
Shipper's Signature 
and Stamp：</t>
  </si>
  <si>
    <t xml:space="preserve">Total </t>
  </si>
  <si>
    <t>YL-EXP2026-54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</si>
</sst>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¥-804]#,##0.000"/>
    <numFmt numFmtId="165" formatCode="m/d/yyyy"/>
    <numFmt numFmtId="166" formatCode="yyyy\-mm\-dd"/>
    <numFmt numFmtId="167" formatCode="#,##0_ ;\-#,##0\ "/>
    <numFmt numFmtId="168" formatCode="[$USD]\ #,##0.00"/>
    <numFmt numFmtId="169" formatCode="\￥#,##0.00_);&quot;(￥&quot;#,##0.00\)"/>
    <numFmt numFmtId="170" formatCode="[$USD]\ #,##0.000"/>
    <numFmt numFmtId="171" formatCode="#,##0.00_ ;\-#,##0.00\ "/>
  </numFmts>
  <fonts count="23">
    <font>
      <sz val="11"/>
      <color theme="1"/>
      <name val="Calibri"/>
      <family val="2"/>
      <charset val="1"/>
    </font>
    <font>
      <sz val="14"/>
      <color theme="1"/>
      <name val="Arial"/>
      <family val="2"/>
      <charset val="1"/>
    </font>
    <font>
      <sz val="14"/>
      <color theme="1"/>
      <name val="Noto Sans CJK SC"/>
      <family val="2"/>
    </font>
    <font>
      <sz val="12"/>
      <name val="宋体"/>
      <charset val="1"/>
    </font>
    <font>
      <sz val="20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u/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11"/>
      <color theme="1"/>
      <name val="Arial"/>
      <family val="2"/>
      <charset val="1"/>
    </font>
    <font>
      <sz val="12"/>
      <name val="Calibri"/>
      <family val="2"/>
      <charset val="1"/>
    </font>
    <font>
      <sz val="12"/>
      <color rgb="FFFF0000"/>
      <name val="Arial"/>
      <family val="2"/>
      <charset val="1"/>
    </font>
    <font>
      <sz val="12"/>
      <color theme="1"/>
      <name val="Noto Sans CJK SC"/>
      <family val="2"/>
    </font>
    <font>
      <sz val="14"/>
      <name val="Arial"/>
      <family val="2"/>
      <charset val="1"/>
    </font>
    <font>
      <sz val="20"/>
      <name val="Arial"/>
      <family val="2"/>
      <charset val="1"/>
    </font>
    <font>
      <b/>
      <sz val="12"/>
      <name val="Arial"/>
      <family val="2"/>
      <charset val="1"/>
    </font>
    <font>
      <u/>
      <sz val="12"/>
      <color rgb="FF0000FF"/>
      <name val="宋体"/>
      <charset val="134"/>
    </font>
    <font>
      <u/>
      <sz val="12"/>
      <color rgb="FF0000FF"/>
      <name val="Calibri"/>
      <family val="2"/>
      <charset val="1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33CC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164" fontId="6" fillId="0" borderId="1" xfId="0" applyNumberFormat="1" applyFont="1" applyBorder="1" applyAlignment="1">
      <alignment horizontal="center" vertical="center"/>
    </xf>
    <xf numFmtId="0" fontId="3" fillId="0" borderId="0" xfId="0" applyFont="1"/>
    <xf numFmtId="164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3" fillId="0" borderId="0" xfId="0" applyNumberFormat="1" applyFont="1"/>
    <xf numFmtId="164" fontId="5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left" vertical="center" wrapText="1"/>
    </xf>
    <xf numFmtId="2" fontId="5" fillId="0" borderId="4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168" fontId="5" fillId="0" borderId="3" xfId="0" applyNumberFormat="1" applyFont="1" applyBorder="1" applyAlignment="1">
      <alignment horizontal="center" vertical="center" wrapText="1"/>
    </xf>
    <xf numFmtId="169" fontId="10" fillId="0" borderId="5" xfId="0" applyNumberFormat="1" applyFont="1" applyBorder="1" applyAlignment="1">
      <alignment horizontal="center" vertical="center"/>
    </xf>
    <xf numFmtId="169" fontId="10" fillId="0" borderId="3" xfId="0" applyNumberFormat="1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 wrapText="1"/>
    </xf>
    <xf numFmtId="170" fontId="5" fillId="0" borderId="3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71" fontId="12" fillId="0" borderId="4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2" fontId="5" fillId="2" borderId="0" xfId="0" applyNumberFormat="1" applyFont="1" applyFill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center" wrapText="1"/>
    </xf>
    <xf numFmtId="164" fontId="17" fillId="0" borderId="0" xfId="0" applyNumberFormat="1" applyFont="1" applyAlignment="1">
      <alignment horizontal="left" vertical="center"/>
    </xf>
    <xf numFmtId="2" fontId="16" fillId="4" borderId="1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167" fontId="8" fillId="0" borderId="3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3" fontId="20" fillId="0" borderId="4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center" wrapText="1"/>
    </xf>
    <xf numFmtId="164" fontId="16" fillId="0" borderId="1" xfId="0" applyNumberFormat="1" applyFont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center" vertical="center" wrapText="1"/>
    </xf>
    <xf numFmtId="165" fontId="8" fillId="6" borderId="3" xfId="0" applyNumberFormat="1" applyFont="1" applyFill="1" applyBorder="1" applyAlignment="1">
      <alignment horizontal="center" vertical="center"/>
    </xf>
    <xf numFmtId="165" fontId="8" fillId="6" borderId="5" xfId="0" applyNumberFormat="1" applyFont="1" applyFill="1" applyBorder="1" applyAlignment="1">
      <alignment horizontal="center" vertical="center"/>
    </xf>
    <xf numFmtId="165" fontId="8" fillId="6" borderId="4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1430615</xdr:colOff>
      <xdr:row>29</xdr:row>
      <xdr:rowOff>30480</xdr:rowOff>
    </xdr:from>
    <xdr:to>
      <xdr:col>1</xdr:col>
      <xdr:colOff>2370979</xdr:colOff>
      <xdr:row>29</xdr:row>
      <xdr:rowOff>564476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E720EE0A-8812-4A32-A6D1-5DBBD7CFF9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96575" y="16154400"/>
          <a:ext cx="940364" cy="53399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30480</xdr:colOff>
      <xdr:row>29</xdr:row>
      <xdr:rowOff>615822</xdr:rowOff>
    </xdr:from>
    <xdr:to>
      <xdr:col>2</xdr:col>
      <xdr:colOff>496984</xdr:colOff>
      <xdr:row>29</xdr:row>
      <xdr:rowOff>1139548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D628BF87-C986-41E0-A678-7E82107A9356}"/>
            </a:ext>
          </a:extLst>
        </xdr:cNvPr>
        <xdr:cNvPicPr/>
      </xdr:nvPicPr>
      <xdr:blipFill>
        <a:blip xmlns:r="http://schemas.openxmlformats.org/officeDocument/2006/relationships" r:embed="rId2"/>
        <a:srcRect t="12153" b="21702"/>
        <a:stretch>
          <a:fillRect/>
        </a:stretch>
      </xdr:blipFill>
      <xdr:spPr>
        <a:xfrm>
          <a:off x="1996440" y="16739742"/>
          <a:ext cx="3621184" cy="52372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829671</xdr:colOff>
      <xdr:row>27</xdr:row>
      <xdr:rowOff>71883</xdr:rowOff>
    </xdr:from>
    <xdr:to>
      <xdr:col>1</xdr:col>
      <xdr:colOff>1768152</xdr:colOff>
      <xdr:row>27</xdr:row>
      <xdr:rowOff>605879</xdr:rowOff>
    </xdr:to>
    <xdr:pic>
      <xdr:nvPicPr>
        <xdr:cNvPr id="4" name="Picture 3" descr=" ">
          <a:extLst>
            <a:ext uri="{FF2B5EF4-FFF2-40B4-BE49-F238E27FC236}">
              <a16:creationId xmlns:a16="http://schemas.microsoft.com/office/drawing/2014/main" id="{971B31BA-8F03-4DDC-BAEC-516572C56B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88951" y="11501883"/>
          <a:ext cx="938481" cy="53399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1605423</xdr:colOff>
      <xdr:row>27</xdr:row>
      <xdr:rowOff>657225</xdr:rowOff>
    </xdr:from>
    <xdr:to>
      <xdr:col>1</xdr:col>
      <xdr:colOff>3039862</xdr:colOff>
      <xdr:row>27</xdr:row>
      <xdr:rowOff>1180951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4D601B4D-F15B-4DB8-A0A9-D9626A258719}"/>
            </a:ext>
          </a:extLst>
        </xdr:cNvPr>
        <xdr:cNvPicPr/>
      </xdr:nvPicPr>
      <xdr:blipFill>
        <a:blip xmlns:r="http://schemas.openxmlformats.org/officeDocument/2006/relationships" r:embed="rId2"/>
        <a:srcRect t="12153" b="21702"/>
        <a:stretch>
          <a:fillRect/>
        </a:stretch>
      </xdr:blipFill>
      <xdr:spPr>
        <a:xfrm>
          <a:off x="1605423" y="12087225"/>
          <a:ext cx="3293719" cy="52372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50" zoomScaleNormal="100" workbookViewId="0">
      <selection activeCell="E6" sqref="E6"/>
    </sheetView>
  </sheetViews>
  <sheetFormatPr defaultColWidth="8.6640625" defaultRowHeight="14.4"/>
  <cols>
    <col min="1" max="1" width="28.6640625" customWidth="1"/>
    <col min="2" max="2" width="45.88671875" customWidth="1"/>
    <col min="3" max="3" width="16.21875" customWidth="1"/>
    <col min="4" max="4" width="9.21875" customWidth="1"/>
    <col min="5" max="5" width="14.21875" customWidth="1"/>
    <col min="6" max="6" width="18.6640625" customWidth="1"/>
    <col min="7" max="7" width="28.33203125" customWidth="1"/>
    <col min="8" max="8" width="17" customWidth="1"/>
    <col min="9" max="9" width="16.44140625" bestFit="1" customWidth="1"/>
    <col min="10" max="10" width="16.33203125" customWidth="1"/>
    <col min="11" max="11" width="18.33203125" customWidth="1"/>
    <col min="12" max="12" width="14.77734375" customWidth="1"/>
    <col min="13" max="13" width="15.5546875" customWidth="1"/>
    <col min="14" max="14" width="16.77734375" customWidth="1"/>
    <col min="15" max="15" width="10.6640625" customWidth="1"/>
    <col min="16" max="16" width="15" customWidth="1"/>
    <col min="17" max="17" width="12.88671875" customWidth="1"/>
    <col min="18" max="18" width="9.109375" customWidth="1"/>
    <col min="27" max="27" width="9.109375" customWidth="1"/>
    <col min="28" max="28" width="13.109375" customWidth="1"/>
    <col min="29" max="29" width="15.109375" customWidth="1"/>
    <col min="30" max="30" width="10" customWidth="1"/>
    <col min="31" max="31" width="9.109375" customWidth="1"/>
  </cols>
  <sheetData>
    <row r="1" spans="1:21" ht="111.75" customHeight="1">
      <c r="A1" s="55" t="s">
        <v>0</v>
      </c>
      <c r="B1" s="55"/>
      <c r="C1" s="55"/>
      <c r="D1" s="55"/>
      <c r="E1" s="55"/>
      <c r="F1" s="55"/>
      <c r="G1" s="5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4" customHeight="1">
      <c r="A2" s="56" t="s">
        <v>1</v>
      </c>
      <c r="B2" s="56"/>
      <c r="C2" s="56"/>
      <c r="D2" s="56"/>
      <c r="E2" s="56"/>
      <c r="F2" s="56"/>
      <c r="G2" s="5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3" t="s">
        <v>2</v>
      </c>
      <c r="B3" s="57" t="s">
        <v>81</v>
      </c>
      <c r="C3" s="57"/>
      <c r="D3" s="57"/>
      <c r="E3" s="57"/>
      <c r="F3" s="4" t="s">
        <v>3</v>
      </c>
      <c r="G3" s="5">
        <v>46198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58" t="s">
        <v>4</v>
      </c>
      <c r="B4" s="58"/>
      <c r="C4" s="58"/>
      <c r="D4" s="58"/>
      <c r="E4" s="58" t="s">
        <v>5</v>
      </c>
      <c r="F4" s="58"/>
      <c r="G4" s="5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3.75" customHeight="1">
      <c r="A5" s="3" t="s">
        <v>6</v>
      </c>
      <c r="B5" s="50" t="s">
        <v>7</v>
      </c>
      <c r="C5" s="50"/>
      <c r="D5" s="50"/>
      <c r="E5" s="3" t="s">
        <v>6</v>
      </c>
      <c r="F5" s="50" t="s">
        <v>8</v>
      </c>
      <c r="G5" s="5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27.5" customHeight="1">
      <c r="A6" s="3" t="s">
        <v>9</v>
      </c>
      <c r="B6" s="50" t="s">
        <v>10</v>
      </c>
      <c r="C6" s="50"/>
      <c r="D6" s="50"/>
      <c r="E6" s="3" t="s">
        <v>9</v>
      </c>
      <c r="F6" s="50" t="s">
        <v>11</v>
      </c>
      <c r="G6" s="5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33.75" customHeight="1">
      <c r="A7" s="3" t="s">
        <v>12</v>
      </c>
      <c r="B7" s="50" t="s">
        <v>13</v>
      </c>
      <c r="C7" s="50"/>
      <c r="D7" s="50"/>
      <c r="E7" s="3" t="s">
        <v>12</v>
      </c>
      <c r="F7" s="50" t="s">
        <v>14</v>
      </c>
      <c r="G7" s="5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3.75" customHeight="1">
      <c r="A8" s="3" t="s">
        <v>15</v>
      </c>
      <c r="B8" s="50" t="s">
        <v>16</v>
      </c>
      <c r="C8" s="50"/>
      <c r="D8" s="50"/>
      <c r="E8" s="3" t="s">
        <v>15</v>
      </c>
      <c r="F8" s="53" t="s">
        <v>17</v>
      </c>
      <c r="G8" s="5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3.75" customHeight="1">
      <c r="A9" s="3" t="s">
        <v>18</v>
      </c>
      <c r="B9" s="54" t="s">
        <v>19</v>
      </c>
      <c r="C9" s="54"/>
      <c r="D9" s="54"/>
      <c r="E9" s="3" t="s">
        <v>20</v>
      </c>
      <c r="F9" s="54" t="s">
        <v>21</v>
      </c>
      <c r="G9" s="5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34.5" customHeight="1">
      <c r="A10" s="50" t="s">
        <v>22</v>
      </c>
      <c r="B10" s="50"/>
      <c r="C10" s="50"/>
      <c r="D10" s="50"/>
      <c r="E10" s="50"/>
      <c r="F10" s="50"/>
      <c r="G10" s="50"/>
      <c r="H10" s="7"/>
      <c r="I10" s="7"/>
      <c r="J10" s="7"/>
      <c r="K10" s="7"/>
      <c r="L10" s="7"/>
      <c r="M10" s="7"/>
      <c r="N10" s="2"/>
      <c r="O10" s="2"/>
      <c r="P10" s="2"/>
      <c r="Q10" s="2"/>
      <c r="R10" s="2"/>
      <c r="S10" s="2"/>
      <c r="T10" s="2"/>
      <c r="U10" s="2"/>
    </row>
    <row r="11" spans="1:21" ht="34.5" customHeight="1">
      <c r="A11" s="50" t="s">
        <v>23</v>
      </c>
      <c r="B11" s="50"/>
      <c r="C11" s="50"/>
      <c r="D11" s="50"/>
      <c r="E11" s="50"/>
      <c r="F11" s="50"/>
      <c r="G11" s="5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34.5" customHeight="1">
      <c r="A12" s="50" t="s">
        <v>24</v>
      </c>
      <c r="B12" s="50"/>
      <c r="C12" s="50"/>
      <c r="D12" s="50"/>
      <c r="E12" s="50"/>
      <c r="F12" s="50"/>
      <c r="G12" s="5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4.75" customHeight="1">
      <c r="A13" s="51" t="s">
        <v>25</v>
      </c>
      <c r="B13" s="51"/>
      <c r="C13" s="51"/>
      <c r="D13" s="51"/>
      <c r="E13" s="51"/>
      <c r="F13" s="51"/>
      <c r="G13" s="51"/>
      <c r="H13" s="2"/>
      <c r="I13" s="2"/>
      <c r="J13" s="2"/>
      <c r="K13" s="2"/>
      <c r="L13" s="8">
        <f>(2100+1000)/O28</f>
        <v>46.629162780903116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47.25" customHeight="1">
      <c r="A14" s="1" t="s">
        <v>26</v>
      </c>
      <c r="B14" s="9" t="s">
        <v>27</v>
      </c>
      <c r="C14" s="10" t="s">
        <v>28</v>
      </c>
      <c r="D14" s="1" t="s">
        <v>29</v>
      </c>
      <c r="E14" s="10" t="s">
        <v>30</v>
      </c>
      <c r="F14" s="10" t="s">
        <v>31</v>
      </c>
      <c r="G14" s="10" t="s">
        <v>32</v>
      </c>
      <c r="H14" s="11" t="s">
        <v>33</v>
      </c>
      <c r="I14" s="11" t="s">
        <v>34</v>
      </c>
      <c r="J14" s="12" t="s">
        <v>35</v>
      </c>
      <c r="K14" s="12" t="s">
        <v>36</v>
      </c>
      <c r="L14" s="12" t="s">
        <v>37</v>
      </c>
      <c r="M14" s="12" t="s">
        <v>38</v>
      </c>
      <c r="N14" s="11" t="s">
        <v>39</v>
      </c>
      <c r="O14" s="12" t="s">
        <v>40</v>
      </c>
      <c r="P14" s="12" t="s">
        <v>41</v>
      </c>
      <c r="Q14" s="2"/>
      <c r="R14" s="2"/>
      <c r="S14" s="2"/>
      <c r="T14" s="2"/>
      <c r="U14" s="2"/>
    </row>
    <row r="15" spans="1:21" ht="38.25" customHeight="1">
      <c r="A15" s="13">
        <v>1</v>
      </c>
      <c r="B15" s="14" t="s">
        <v>42</v>
      </c>
      <c r="C15" s="15" t="s">
        <v>43</v>
      </c>
      <c r="D15" s="16" t="s">
        <v>44</v>
      </c>
      <c r="E15" s="17">
        <v>20</v>
      </c>
      <c r="F15" s="18">
        <f t="shared" ref="F15:F27" si="0">M15</f>
        <v>5.5699999999999994</v>
      </c>
      <c r="G15" s="19">
        <f t="shared" ref="G15:G27" si="1">F15*E15</f>
        <v>111.39999999999999</v>
      </c>
      <c r="H15" s="77">
        <v>38.799999999999997</v>
      </c>
      <c r="I15" s="20">
        <f t="shared" ref="I15:I27" si="2">H15/1.13</f>
        <v>34.336283185840706</v>
      </c>
      <c r="J15" s="21">
        <f t="shared" ref="J15:J27" si="3">(I15*1.03)</f>
        <v>35.366371681415927</v>
      </c>
      <c r="K15" s="22">
        <f>J15/6.8</f>
        <v>5.2009370119729308</v>
      </c>
      <c r="L15" s="22">
        <f t="shared" ref="L15:L27" si="4">($L$13*O15)/E15</f>
        <v>0.36370746969104428</v>
      </c>
      <c r="M15" s="23">
        <f t="shared" ref="M15:M27" si="5">ROUNDUP(L15+K15,2)</f>
        <v>5.5699999999999994</v>
      </c>
      <c r="N15" s="24" t="s">
        <v>45</v>
      </c>
      <c r="O15" s="25">
        <v>0.156</v>
      </c>
      <c r="P15" s="26">
        <f t="shared" ref="P15:P27" si="6">H15*E15</f>
        <v>776</v>
      </c>
      <c r="Q15" s="27"/>
    </row>
    <row r="16" spans="1:21" ht="38.25" customHeight="1">
      <c r="A16" s="13">
        <v>2</v>
      </c>
      <c r="B16" s="14" t="s">
        <v>46</v>
      </c>
      <c r="C16" s="15" t="s">
        <v>43</v>
      </c>
      <c r="D16" s="16" t="s">
        <v>44</v>
      </c>
      <c r="E16" s="17">
        <v>2</v>
      </c>
      <c r="F16" s="18">
        <f t="shared" si="0"/>
        <v>76.460000000000008</v>
      </c>
      <c r="G16" s="19">
        <f t="shared" si="1"/>
        <v>152.92000000000002</v>
      </c>
      <c r="H16" s="77">
        <v>532.79999999999995</v>
      </c>
      <c r="I16" s="20">
        <f t="shared" ref="I16:I27" si="7">H16/1.13</f>
        <v>471.50442477876106</v>
      </c>
      <c r="J16" s="21">
        <f t="shared" ref="J16:J27" si="8">(I16*1.03)</f>
        <v>485.64955752212393</v>
      </c>
      <c r="K16" s="22">
        <f t="shared" ref="K16:K27" si="9">J16/6.8</f>
        <v>71.419052576782931</v>
      </c>
      <c r="L16" s="22">
        <f t="shared" ref="L16:L27" si="10">($L$13*O16)/E16</f>
        <v>5.0359495803375367</v>
      </c>
      <c r="M16" s="23">
        <f t="shared" ref="M16:M27" si="11">ROUNDUP(L16+K16,2)</f>
        <v>76.460000000000008</v>
      </c>
      <c r="N16" s="24" t="s">
        <v>45</v>
      </c>
      <c r="O16" s="25">
        <v>0.216</v>
      </c>
      <c r="P16" s="26">
        <f t="shared" si="6"/>
        <v>1065.5999999999999</v>
      </c>
      <c r="Q16" s="27"/>
    </row>
    <row r="17" spans="1:17" ht="38.25" customHeight="1">
      <c r="A17" s="13">
        <v>3</v>
      </c>
      <c r="B17" s="14" t="s">
        <v>47</v>
      </c>
      <c r="C17" s="15" t="s">
        <v>43</v>
      </c>
      <c r="D17" s="16" t="s">
        <v>44</v>
      </c>
      <c r="E17" s="17">
        <v>2</v>
      </c>
      <c r="F17" s="18">
        <f t="shared" si="0"/>
        <v>82.13000000000001</v>
      </c>
      <c r="G17" s="19">
        <f t="shared" si="1"/>
        <v>164.26000000000002</v>
      </c>
      <c r="H17" s="77">
        <v>588.29999999999995</v>
      </c>
      <c r="I17" s="20">
        <f t="shared" si="7"/>
        <v>520.6194690265487</v>
      </c>
      <c r="J17" s="21">
        <f t="shared" si="8"/>
        <v>536.23805309734519</v>
      </c>
      <c r="K17" s="22">
        <f t="shared" si="9"/>
        <v>78.858537220197817</v>
      </c>
      <c r="L17" s="22">
        <f t="shared" si="10"/>
        <v>3.2640413946632183</v>
      </c>
      <c r="M17" s="23">
        <f t="shared" si="11"/>
        <v>82.13000000000001</v>
      </c>
      <c r="N17" s="24" t="s">
        <v>45</v>
      </c>
      <c r="O17" s="25">
        <v>0.14000000000000001</v>
      </c>
      <c r="P17" s="26">
        <f t="shared" si="6"/>
        <v>1176.5999999999999</v>
      </c>
      <c r="Q17" s="27"/>
    </row>
    <row r="18" spans="1:17" ht="38.25" customHeight="1">
      <c r="A18" s="13">
        <v>4</v>
      </c>
      <c r="B18" s="14" t="s">
        <v>48</v>
      </c>
      <c r="C18" s="15" t="s">
        <v>49</v>
      </c>
      <c r="D18" s="16" t="s">
        <v>44</v>
      </c>
      <c r="E18" s="17">
        <v>30</v>
      </c>
      <c r="F18" s="18">
        <f t="shared" si="0"/>
        <v>41.12</v>
      </c>
      <c r="G18" s="19">
        <f t="shared" si="1"/>
        <v>1233.5999999999999</v>
      </c>
      <c r="H18" s="77">
        <v>298</v>
      </c>
      <c r="I18" s="20">
        <f t="shared" si="7"/>
        <v>263.71681415929208</v>
      </c>
      <c r="J18" s="21">
        <f t="shared" si="8"/>
        <v>271.62831858407088</v>
      </c>
      <c r="K18" s="22">
        <f t="shared" si="9"/>
        <v>39.945340968245716</v>
      </c>
      <c r="L18" s="22">
        <f t="shared" si="10"/>
        <v>1.1657290695225777</v>
      </c>
      <c r="M18" s="23">
        <f t="shared" si="11"/>
        <v>41.12</v>
      </c>
      <c r="N18" s="24" t="s">
        <v>50</v>
      </c>
      <c r="O18" s="25">
        <v>0.75</v>
      </c>
      <c r="P18" s="26">
        <f t="shared" si="6"/>
        <v>8940</v>
      </c>
      <c r="Q18" s="27"/>
    </row>
    <row r="19" spans="1:17" ht="38.25" customHeight="1">
      <c r="A19" s="13">
        <v>5</v>
      </c>
      <c r="B19" s="14" t="s">
        <v>51</v>
      </c>
      <c r="C19" s="15" t="s">
        <v>43</v>
      </c>
      <c r="D19" s="16" t="s">
        <v>44</v>
      </c>
      <c r="E19" s="17">
        <v>300</v>
      </c>
      <c r="F19" s="18">
        <f t="shared" si="0"/>
        <v>56.33</v>
      </c>
      <c r="G19" s="19">
        <f t="shared" si="1"/>
        <v>16899</v>
      </c>
      <c r="H19" s="77">
        <v>377.4</v>
      </c>
      <c r="I19" s="20">
        <f t="shared" si="7"/>
        <v>333.98230088495575</v>
      </c>
      <c r="J19" s="21">
        <f t="shared" si="8"/>
        <v>344.00176991150443</v>
      </c>
      <c r="K19" s="22">
        <f t="shared" si="9"/>
        <v>50.588495575221238</v>
      </c>
      <c r="L19" s="22">
        <f t="shared" si="10"/>
        <v>5.735387022051083</v>
      </c>
      <c r="M19" s="23">
        <f t="shared" si="11"/>
        <v>56.33</v>
      </c>
      <c r="N19" s="24" t="s">
        <v>45</v>
      </c>
      <c r="O19" s="25">
        <v>36.9</v>
      </c>
      <c r="P19" s="26">
        <f t="shared" si="6"/>
        <v>113220</v>
      </c>
      <c r="Q19" s="27"/>
    </row>
    <row r="20" spans="1:17" ht="38.25" customHeight="1">
      <c r="A20" s="13">
        <v>6</v>
      </c>
      <c r="B20" s="14" t="s">
        <v>52</v>
      </c>
      <c r="C20" s="15" t="s">
        <v>43</v>
      </c>
      <c r="D20" s="16" t="s">
        <v>44</v>
      </c>
      <c r="E20" s="17">
        <v>40</v>
      </c>
      <c r="F20" s="18">
        <f t="shared" si="0"/>
        <v>72.550000000000011</v>
      </c>
      <c r="G20" s="19">
        <f t="shared" si="1"/>
        <v>2902.0000000000005</v>
      </c>
      <c r="H20" s="77">
        <v>498.39</v>
      </c>
      <c r="I20" s="20">
        <f t="shared" si="7"/>
        <v>441.05309734513276</v>
      </c>
      <c r="J20" s="21">
        <f t="shared" si="8"/>
        <v>454.28469026548674</v>
      </c>
      <c r="K20" s="22">
        <f t="shared" si="9"/>
        <v>66.806572097865697</v>
      </c>
      <c r="L20" s="22">
        <f t="shared" si="10"/>
        <v>5.735387022051083</v>
      </c>
      <c r="M20" s="23">
        <f t="shared" si="11"/>
        <v>72.550000000000011</v>
      </c>
      <c r="N20" s="24" t="s">
        <v>45</v>
      </c>
      <c r="O20" s="25">
        <v>4.92</v>
      </c>
      <c r="P20" s="26">
        <f t="shared" si="6"/>
        <v>19935.599999999999</v>
      </c>
      <c r="Q20" s="27"/>
    </row>
    <row r="21" spans="1:17" ht="38.25" customHeight="1">
      <c r="A21" s="13">
        <v>7</v>
      </c>
      <c r="B21" s="14" t="s">
        <v>53</v>
      </c>
      <c r="C21" s="15" t="s">
        <v>43</v>
      </c>
      <c r="D21" s="16" t="s">
        <v>44</v>
      </c>
      <c r="E21" s="17">
        <v>15</v>
      </c>
      <c r="F21" s="18">
        <f t="shared" si="0"/>
        <v>222.70999999999998</v>
      </c>
      <c r="G21" s="19">
        <f t="shared" si="1"/>
        <v>3340.6499999999996</v>
      </c>
      <c r="H21" s="77">
        <v>1564</v>
      </c>
      <c r="I21" s="20">
        <f t="shared" si="7"/>
        <v>1384.0707964601772</v>
      </c>
      <c r="J21" s="21">
        <f t="shared" si="8"/>
        <v>1425.5929203539827</v>
      </c>
      <c r="K21" s="22">
        <f t="shared" si="9"/>
        <v>209.64601769911511</v>
      </c>
      <c r="L21" s="22">
        <f t="shared" si="10"/>
        <v>13.056165578652873</v>
      </c>
      <c r="M21" s="23">
        <f t="shared" si="11"/>
        <v>222.70999999999998</v>
      </c>
      <c r="N21" s="24" t="s">
        <v>54</v>
      </c>
      <c r="O21" s="25">
        <v>4.2</v>
      </c>
      <c r="P21" s="26">
        <f t="shared" si="6"/>
        <v>23460</v>
      </c>
      <c r="Q21" s="27"/>
    </row>
    <row r="22" spans="1:17" ht="38.25" customHeight="1">
      <c r="A22" s="13">
        <v>8</v>
      </c>
      <c r="B22" s="14" t="s">
        <v>55</v>
      </c>
      <c r="C22" s="15" t="s">
        <v>43</v>
      </c>
      <c r="D22" s="16" t="s">
        <v>44</v>
      </c>
      <c r="E22" s="17">
        <v>6</v>
      </c>
      <c r="F22" s="18">
        <f t="shared" si="0"/>
        <v>226.03</v>
      </c>
      <c r="G22" s="19">
        <f t="shared" si="1"/>
        <v>1356.18</v>
      </c>
      <c r="H22" s="77">
        <v>1554</v>
      </c>
      <c r="I22" s="20">
        <f t="shared" si="7"/>
        <v>1375.2212389380531</v>
      </c>
      <c r="J22" s="21">
        <f t="shared" si="8"/>
        <v>1416.4778761061948</v>
      </c>
      <c r="K22" s="22">
        <f t="shared" si="9"/>
        <v>208.30557001561689</v>
      </c>
      <c r="L22" s="22">
        <f t="shared" si="10"/>
        <v>17.719081856743184</v>
      </c>
      <c r="M22" s="23">
        <f t="shared" si="11"/>
        <v>226.03</v>
      </c>
      <c r="N22" s="24" t="s">
        <v>45</v>
      </c>
      <c r="O22" s="25">
        <v>2.2799999999999998</v>
      </c>
      <c r="P22" s="26">
        <f t="shared" si="6"/>
        <v>9324</v>
      </c>
      <c r="Q22" s="27"/>
    </row>
    <row r="23" spans="1:17" ht="38.25" customHeight="1">
      <c r="A23" s="13">
        <v>9</v>
      </c>
      <c r="B23" s="14" t="s">
        <v>56</v>
      </c>
      <c r="C23" s="15" t="s">
        <v>43</v>
      </c>
      <c r="D23" s="16" t="s">
        <v>44</v>
      </c>
      <c r="E23" s="17">
        <v>5</v>
      </c>
      <c r="F23" s="18">
        <f t="shared" si="0"/>
        <v>291.61</v>
      </c>
      <c r="G23" s="19">
        <f t="shared" si="1"/>
        <v>1458.0500000000002</v>
      </c>
      <c r="H23" s="77">
        <v>1998</v>
      </c>
      <c r="I23" s="20">
        <f t="shared" si="7"/>
        <v>1768.1415929203542</v>
      </c>
      <c r="J23" s="21">
        <f t="shared" si="8"/>
        <v>1821.1858407079649</v>
      </c>
      <c r="K23" s="22">
        <f t="shared" si="9"/>
        <v>267.82144716293601</v>
      </c>
      <c r="L23" s="22">
        <f t="shared" si="10"/>
        <v>23.780873018260586</v>
      </c>
      <c r="M23" s="23">
        <f t="shared" si="11"/>
        <v>291.61</v>
      </c>
      <c r="N23" s="24" t="s">
        <v>45</v>
      </c>
      <c r="O23" s="25">
        <v>2.5499999999999998</v>
      </c>
      <c r="P23" s="26">
        <f t="shared" si="6"/>
        <v>9990</v>
      </c>
      <c r="Q23" s="27"/>
    </row>
    <row r="24" spans="1:17" ht="38.25" customHeight="1">
      <c r="A24" s="13">
        <v>10</v>
      </c>
      <c r="B24" s="14" t="s">
        <v>57</v>
      </c>
      <c r="C24" s="15" t="s">
        <v>43</v>
      </c>
      <c r="D24" s="16" t="s">
        <v>44</v>
      </c>
      <c r="E24" s="17">
        <v>4</v>
      </c>
      <c r="F24" s="18">
        <f t="shared" si="0"/>
        <v>1118.48</v>
      </c>
      <c r="G24" s="19">
        <f t="shared" si="1"/>
        <v>4473.92</v>
      </c>
      <c r="H24" s="77">
        <v>7370</v>
      </c>
      <c r="I24" s="20">
        <f t="shared" si="7"/>
        <v>6522.1238938053102</v>
      </c>
      <c r="J24" s="21">
        <f t="shared" si="8"/>
        <v>6717.7876106194699</v>
      </c>
      <c r="K24" s="22">
        <f t="shared" si="9"/>
        <v>987.90994273815738</v>
      </c>
      <c r="L24" s="22">
        <f t="shared" si="10"/>
        <v>130.56165578652872</v>
      </c>
      <c r="M24" s="23">
        <f t="shared" si="11"/>
        <v>1118.48</v>
      </c>
      <c r="N24" s="24" t="s">
        <v>58</v>
      </c>
      <c r="O24" s="25">
        <v>11.2</v>
      </c>
      <c r="P24" s="26">
        <f t="shared" si="6"/>
        <v>29480</v>
      </c>
      <c r="Q24" s="27"/>
    </row>
    <row r="25" spans="1:17" ht="38.25" customHeight="1">
      <c r="A25" s="13">
        <v>11</v>
      </c>
      <c r="B25" s="14" t="s">
        <v>59</v>
      </c>
      <c r="C25" s="15" t="s">
        <v>43</v>
      </c>
      <c r="D25" s="16" t="s">
        <v>44</v>
      </c>
      <c r="E25" s="17">
        <v>1</v>
      </c>
      <c r="F25" s="18">
        <f t="shared" si="0"/>
        <v>542.72</v>
      </c>
      <c r="G25" s="19">
        <f t="shared" si="1"/>
        <v>542.72</v>
      </c>
      <c r="H25" s="77">
        <v>3520</v>
      </c>
      <c r="I25" s="20">
        <f t="shared" si="7"/>
        <v>3115.0442477876109</v>
      </c>
      <c r="J25" s="21">
        <f t="shared" si="8"/>
        <v>3208.4955752212391</v>
      </c>
      <c r="K25" s="22">
        <f t="shared" si="9"/>
        <v>471.83758459135868</v>
      </c>
      <c r="L25" s="22">
        <f t="shared" si="10"/>
        <v>70.876327426972736</v>
      </c>
      <c r="M25" s="23">
        <f t="shared" si="11"/>
        <v>542.72</v>
      </c>
      <c r="N25" s="24" t="s">
        <v>58</v>
      </c>
      <c r="O25" s="25">
        <v>1.52</v>
      </c>
      <c r="P25" s="26">
        <f t="shared" si="6"/>
        <v>3520</v>
      </c>
      <c r="Q25" s="27"/>
    </row>
    <row r="26" spans="1:17" ht="38.25" customHeight="1">
      <c r="A26" s="13">
        <v>12</v>
      </c>
      <c r="B26" s="14" t="s">
        <v>60</v>
      </c>
      <c r="C26" s="15" t="s">
        <v>43</v>
      </c>
      <c r="D26" s="16" t="s">
        <v>44</v>
      </c>
      <c r="E26" s="17">
        <v>3</v>
      </c>
      <c r="F26" s="18">
        <f t="shared" si="0"/>
        <v>137.78</v>
      </c>
      <c r="G26" s="19">
        <f t="shared" si="1"/>
        <v>413.34000000000003</v>
      </c>
      <c r="H26" s="77">
        <v>913</v>
      </c>
      <c r="I26" s="20">
        <f t="shared" si="7"/>
        <v>807.96460176991161</v>
      </c>
      <c r="J26" s="21">
        <f t="shared" si="8"/>
        <v>832.20353982300901</v>
      </c>
      <c r="K26" s="22">
        <f t="shared" si="9"/>
        <v>122.38287350338368</v>
      </c>
      <c r="L26" s="22">
        <f t="shared" si="10"/>
        <v>15.387623717698027</v>
      </c>
      <c r="M26" s="23">
        <f t="shared" si="11"/>
        <v>137.78</v>
      </c>
      <c r="N26" s="24" t="s">
        <v>58</v>
      </c>
      <c r="O26" s="25">
        <v>0.99</v>
      </c>
      <c r="P26" s="26">
        <f t="shared" si="6"/>
        <v>2739</v>
      </c>
      <c r="Q26" s="27"/>
    </row>
    <row r="27" spans="1:17" ht="38.25" customHeight="1">
      <c r="A27" s="13">
        <v>13</v>
      </c>
      <c r="B27" s="14" t="s">
        <v>61</v>
      </c>
      <c r="C27" s="15" t="s">
        <v>43</v>
      </c>
      <c r="D27" s="16" t="s">
        <v>44</v>
      </c>
      <c r="E27" s="17">
        <v>2</v>
      </c>
      <c r="F27" s="18">
        <f>M27-0.12</f>
        <v>147.97999999999999</v>
      </c>
      <c r="G27" s="19">
        <f t="shared" si="1"/>
        <v>295.95999999999998</v>
      </c>
      <c r="H27" s="77">
        <v>990</v>
      </c>
      <c r="I27" s="20">
        <f t="shared" si="7"/>
        <v>876.10619469026562</v>
      </c>
      <c r="J27" s="21">
        <f t="shared" si="8"/>
        <v>902.38938053097365</v>
      </c>
      <c r="K27" s="22">
        <f t="shared" si="9"/>
        <v>132.70432066631966</v>
      </c>
      <c r="L27" s="22">
        <f t="shared" si="10"/>
        <v>15.387623717698029</v>
      </c>
      <c r="M27" s="23">
        <f t="shared" si="11"/>
        <v>148.1</v>
      </c>
      <c r="N27" s="24" t="s">
        <v>58</v>
      </c>
      <c r="O27" s="25">
        <v>0.66</v>
      </c>
      <c r="P27" s="26">
        <f t="shared" si="6"/>
        <v>1980</v>
      </c>
      <c r="Q27" s="27"/>
    </row>
    <row r="28" spans="1:17" ht="15.75" customHeight="1">
      <c r="A28" s="52" t="s">
        <v>62</v>
      </c>
      <c r="B28" s="52"/>
      <c r="C28" s="52"/>
      <c r="D28" s="52"/>
      <c r="E28" s="52"/>
      <c r="G28" s="18">
        <f>SUM(G15:G27)</f>
        <v>33344</v>
      </c>
      <c r="H28" s="28"/>
      <c r="I28" s="28"/>
      <c r="J28" s="28"/>
      <c r="K28" s="28"/>
      <c r="L28" s="28"/>
      <c r="M28" s="28"/>
      <c r="N28" s="28"/>
      <c r="O28" s="29">
        <f>SUM(O15:O27)</f>
        <v>66.481999999999985</v>
      </c>
      <c r="P28" s="2"/>
      <c r="Q28" s="2"/>
    </row>
    <row r="29" spans="1:17" ht="147.75" customHeight="1">
      <c r="A29" s="30" t="s">
        <v>63</v>
      </c>
      <c r="B29" s="50" t="s">
        <v>64</v>
      </c>
      <c r="C29" s="50"/>
      <c r="D29" s="50"/>
      <c r="E29" s="50"/>
      <c r="F29" s="50"/>
      <c r="G29" s="50"/>
      <c r="H29" s="28"/>
      <c r="I29" s="28"/>
    </row>
    <row r="30" spans="1:17" ht="104.25" customHeight="1">
      <c r="A30" s="50" t="s">
        <v>65</v>
      </c>
      <c r="B30" s="50"/>
      <c r="C30" s="50"/>
      <c r="D30" s="50"/>
      <c r="E30" s="50"/>
      <c r="F30" s="50"/>
      <c r="G30" s="50"/>
      <c r="H30" s="2"/>
      <c r="I30" s="28"/>
    </row>
    <row r="31" spans="1:17" ht="15.75" customHeight="1">
      <c r="A31" s="51" t="s">
        <v>66</v>
      </c>
      <c r="B31" s="51"/>
      <c r="C31" s="51"/>
      <c r="D31" s="51"/>
      <c r="E31" s="51"/>
      <c r="F31" s="51"/>
      <c r="G31" s="51"/>
      <c r="H31" s="2"/>
      <c r="I31" s="28"/>
    </row>
  </sheetData>
  <mergeCells count="24">
    <mergeCell ref="A1:G1"/>
    <mergeCell ref="A2:G2"/>
    <mergeCell ref="B3:E3"/>
    <mergeCell ref="A4:D4"/>
    <mergeCell ref="E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A10:G10"/>
    <mergeCell ref="A30:D30"/>
    <mergeCell ref="E30:G30"/>
    <mergeCell ref="A31:G31"/>
    <mergeCell ref="A11:G11"/>
    <mergeCell ref="A12:G12"/>
    <mergeCell ref="A13:G13"/>
    <mergeCell ref="A28:E28"/>
    <mergeCell ref="B29:G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A20" zoomScale="101" zoomScaleNormal="100" workbookViewId="0">
      <selection activeCell="G15" sqref="G15"/>
    </sheetView>
  </sheetViews>
  <sheetFormatPr defaultColWidth="8.6640625" defaultRowHeight="14.4"/>
  <cols>
    <col min="1" max="1" width="24.33203125" customWidth="1"/>
    <col min="2" max="2" width="46.21875" customWidth="1"/>
    <col min="3" max="3" width="14.21875" customWidth="1"/>
    <col min="4" max="4" width="15.6640625" customWidth="1"/>
    <col min="5" max="5" width="12.6640625" customWidth="1"/>
    <col min="6" max="6" width="15.6640625" customWidth="1"/>
    <col min="7" max="7" width="16.109375" bestFit="1" customWidth="1"/>
    <col min="8" max="8" width="17.44140625" customWidth="1"/>
    <col min="9" max="9" width="12.21875" customWidth="1"/>
    <col min="10" max="10" width="10.109375" customWidth="1"/>
    <col min="11" max="11" width="9" customWidth="1"/>
  </cols>
  <sheetData>
    <row r="1" spans="1:9" ht="111.75" customHeight="1">
      <c r="A1" s="74" t="str">
        <f>CI!A1</f>
        <v xml:space="preserve"> YINGLIMA IMPORT&amp;EXPORT (WENZHOU) CO., LTD.
Email：sales.yinglima@gmail.com
Mobile：15068270160,Wechat:+91 8108294930
Address:Room 602, Sixth floor, Jinyu Business Building, Wenzhou Avenue, Nanhui Street, Lucheng District, Wenzhou City, Zhejiang Province
</v>
      </c>
      <c r="B1" s="74"/>
      <c r="C1" s="74"/>
      <c r="D1" s="74"/>
      <c r="E1" s="74"/>
      <c r="F1" s="74"/>
      <c r="G1" s="74"/>
      <c r="H1" s="2"/>
      <c r="I1" s="2"/>
    </row>
    <row r="2" spans="1:9" ht="24" customHeight="1">
      <c r="A2" s="75" t="s">
        <v>67</v>
      </c>
      <c r="B2" s="75"/>
      <c r="C2" s="75"/>
      <c r="D2" s="75"/>
      <c r="E2" s="75"/>
      <c r="F2" s="75"/>
      <c r="G2" s="75"/>
      <c r="H2" s="2"/>
      <c r="I2" s="2"/>
    </row>
    <row r="3" spans="1:9" ht="16.5" customHeight="1">
      <c r="A3" s="31" t="s">
        <v>68</v>
      </c>
      <c r="B3" s="81" t="str">
        <f>CI!B3</f>
        <v>YL-EXP2026-54</v>
      </c>
      <c r="C3" s="32" t="s">
        <v>3</v>
      </c>
      <c r="D3" s="78">
        <f>CI!G3</f>
        <v>46198</v>
      </c>
      <c r="E3" s="79"/>
      <c r="F3" s="79"/>
      <c r="G3" s="80"/>
      <c r="H3" s="2"/>
      <c r="I3" s="2"/>
    </row>
    <row r="4" spans="1:9" ht="16.5" customHeight="1">
      <c r="A4" s="76" t="s">
        <v>4</v>
      </c>
      <c r="B4" s="76"/>
      <c r="C4" s="76" t="s">
        <v>5</v>
      </c>
      <c r="D4" s="76"/>
      <c r="E4" s="76"/>
      <c r="F4" s="76"/>
      <c r="G4" s="76"/>
      <c r="H4" s="2"/>
      <c r="I4" s="2"/>
    </row>
    <row r="5" spans="1:9" ht="33.75" customHeight="1">
      <c r="A5" s="31" t="s">
        <v>6</v>
      </c>
      <c r="B5" s="33" t="s">
        <v>7</v>
      </c>
      <c r="C5" s="31" t="s">
        <v>6</v>
      </c>
      <c r="D5" s="66" t="s">
        <v>69</v>
      </c>
      <c r="E5" s="66"/>
      <c r="F5" s="66"/>
      <c r="G5" s="66"/>
      <c r="H5" s="2"/>
      <c r="I5" s="2"/>
    </row>
    <row r="6" spans="1:9" ht="127.5" customHeight="1">
      <c r="A6" s="31" t="s">
        <v>9</v>
      </c>
      <c r="B6" s="33" t="s">
        <v>10</v>
      </c>
      <c r="C6" s="31" t="s">
        <v>9</v>
      </c>
      <c r="D6" s="66" t="str">
        <f>CI!F6</f>
        <v>Ground Floor, Godown No:2,3,4, Prerna Complex, A-9,Mankoli Road, House Number :1692/A- 9/3, VAL.Bhiwandi, Thane, Maharashtra, 421302,INDIA.
GSTIN/UIN:27AAKFI9869H1ZL</v>
      </c>
      <c r="E6" s="66"/>
      <c r="F6" s="66"/>
      <c r="G6" s="66"/>
      <c r="H6" s="2"/>
      <c r="I6" s="2"/>
    </row>
    <row r="7" spans="1:9" ht="33.75" customHeight="1">
      <c r="A7" s="31" t="s">
        <v>12</v>
      </c>
      <c r="B7" s="33" t="s">
        <v>13</v>
      </c>
      <c r="C7" s="31" t="s">
        <v>12</v>
      </c>
      <c r="D7" s="66" t="s">
        <v>70</v>
      </c>
      <c r="E7" s="66"/>
      <c r="F7" s="66"/>
      <c r="G7" s="66"/>
      <c r="H7" s="2"/>
      <c r="I7" s="2"/>
    </row>
    <row r="8" spans="1:9" ht="33.75" customHeight="1">
      <c r="A8" s="31" t="s">
        <v>15</v>
      </c>
      <c r="B8" s="33" t="s">
        <v>16</v>
      </c>
      <c r="C8" s="31" t="s">
        <v>15</v>
      </c>
      <c r="D8" s="72" t="s">
        <v>17</v>
      </c>
      <c r="E8" s="72"/>
      <c r="F8" s="72"/>
      <c r="G8" s="72"/>
      <c r="H8" s="2"/>
      <c r="I8" s="2"/>
    </row>
    <row r="9" spans="1:9" ht="33.75" customHeight="1">
      <c r="A9" s="31" t="s">
        <v>18</v>
      </c>
      <c r="B9" s="34" t="str">
        <f>CI!B9</f>
        <v>sales.yinglima@gmail.com</v>
      </c>
      <c r="C9" s="3" t="s">
        <v>20</v>
      </c>
      <c r="D9" s="73" t="s">
        <v>21</v>
      </c>
      <c r="E9" s="73"/>
      <c r="F9" s="73"/>
      <c r="G9" s="73"/>
      <c r="H9" s="2"/>
      <c r="I9" s="2"/>
    </row>
    <row r="10" spans="1:9" ht="34.5" customHeight="1">
      <c r="A10" s="66" t="s">
        <v>71</v>
      </c>
      <c r="B10" s="66"/>
      <c r="C10" s="66"/>
      <c r="D10" s="66"/>
      <c r="E10" s="66"/>
      <c r="F10" s="66"/>
      <c r="G10" s="66"/>
      <c r="H10" s="2"/>
      <c r="I10" s="2"/>
    </row>
    <row r="11" spans="1:9" ht="21.75" customHeight="1">
      <c r="A11" s="67" t="s">
        <v>72</v>
      </c>
      <c r="B11" s="67"/>
      <c r="C11" s="67"/>
      <c r="D11" s="67"/>
      <c r="E11" s="67"/>
      <c r="F11" s="67"/>
      <c r="G11" s="67"/>
      <c r="H11" s="2"/>
      <c r="I11" s="2"/>
    </row>
    <row r="12" spans="1:9" ht="33" customHeight="1">
      <c r="A12" s="67" t="s">
        <v>26</v>
      </c>
      <c r="B12" s="68" t="s">
        <v>27</v>
      </c>
      <c r="C12" s="69" t="s">
        <v>73</v>
      </c>
      <c r="D12" s="70" t="s">
        <v>74</v>
      </c>
      <c r="E12" s="69" t="s">
        <v>75</v>
      </c>
      <c r="F12" s="71" t="s">
        <v>76</v>
      </c>
      <c r="G12" s="71"/>
      <c r="H12" s="2"/>
      <c r="I12" s="2"/>
    </row>
    <row r="13" spans="1:9" ht="33" customHeight="1">
      <c r="A13" s="67"/>
      <c r="B13" s="67"/>
      <c r="C13" s="67"/>
      <c r="D13" s="67"/>
      <c r="E13" s="67"/>
      <c r="F13" s="35" t="s">
        <v>77</v>
      </c>
      <c r="G13" s="35" t="s">
        <v>78</v>
      </c>
      <c r="H13" s="2"/>
      <c r="I13" s="2"/>
    </row>
    <row r="14" spans="1:9" ht="33" customHeight="1">
      <c r="A14" s="36">
        <v>1</v>
      </c>
      <c r="B14" s="37" t="s">
        <v>42</v>
      </c>
      <c r="C14" s="38">
        <v>20</v>
      </c>
      <c r="D14" s="39">
        <v>2</v>
      </c>
      <c r="E14" s="40" t="s">
        <v>44</v>
      </c>
      <c r="F14" s="41">
        <v>61.1</v>
      </c>
      <c r="G14" s="41">
        <v>74.8</v>
      </c>
    </row>
    <row r="15" spans="1:9" ht="33" customHeight="1">
      <c r="A15" s="36">
        <v>2</v>
      </c>
      <c r="B15" s="37" t="s">
        <v>46</v>
      </c>
      <c r="C15" s="38">
        <v>2</v>
      </c>
      <c r="D15" s="39">
        <v>2</v>
      </c>
      <c r="E15" s="40" t="s">
        <v>44</v>
      </c>
      <c r="F15" s="41">
        <v>28.9</v>
      </c>
      <c r="G15" s="41">
        <v>34</v>
      </c>
    </row>
    <row r="16" spans="1:9" ht="33" customHeight="1">
      <c r="A16" s="36">
        <v>3</v>
      </c>
      <c r="B16" s="37" t="s">
        <v>47</v>
      </c>
      <c r="C16" s="38">
        <v>2</v>
      </c>
      <c r="D16" s="39">
        <v>2</v>
      </c>
      <c r="E16" s="40" t="s">
        <v>44</v>
      </c>
      <c r="F16" s="41">
        <v>30</v>
      </c>
      <c r="G16" s="41">
        <v>35.200000000000003</v>
      </c>
    </row>
    <row r="17" spans="1:9" ht="33" customHeight="1">
      <c r="A17" s="36">
        <v>4</v>
      </c>
      <c r="B17" s="37" t="s">
        <v>48</v>
      </c>
      <c r="C17" s="38">
        <v>30</v>
      </c>
      <c r="D17" s="39">
        <v>30</v>
      </c>
      <c r="E17" s="40" t="s">
        <v>44</v>
      </c>
      <c r="F17" s="41">
        <v>270</v>
      </c>
      <c r="G17" s="41">
        <v>309</v>
      </c>
    </row>
    <row r="18" spans="1:9" ht="33" customHeight="1">
      <c r="A18" s="36">
        <v>5</v>
      </c>
      <c r="B18" s="37" t="s">
        <v>51</v>
      </c>
      <c r="C18" s="38">
        <v>300</v>
      </c>
      <c r="D18" s="39">
        <v>300</v>
      </c>
      <c r="E18" s="40" t="s">
        <v>44</v>
      </c>
      <c r="F18" s="41">
        <v>4350</v>
      </c>
      <c r="G18" s="41">
        <v>4730</v>
      </c>
      <c r="H18">
        <v>14.5</v>
      </c>
      <c r="I18">
        <v>15.6</v>
      </c>
    </row>
    <row r="19" spans="1:9" ht="33" customHeight="1">
      <c r="A19" s="36">
        <v>6</v>
      </c>
      <c r="B19" s="37" t="s">
        <v>52</v>
      </c>
      <c r="C19" s="38">
        <v>40</v>
      </c>
      <c r="D19" s="39">
        <v>40</v>
      </c>
      <c r="E19" s="40" t="s">
        <v>44</v>
      </c>
      <c r="F19" s="41">
        <v>580</v>
      </c>
      <c r="G19" s="41">
        <v>624</v>
      </c>
      <c r="H19">
        <f>H18*300</f>
        <v>4350</v>
      </c>
      <c r="I19">
        <f>I18*300</f>
        <v>4680</v>
      </c>
    </row>
    <row r="20" spans="1:9" ht="33" customHeight="1">
      <c r="A20" s="36">
        <v>7</v>
      </c>
      <c r="B20" s="37" t="s">
        <v>53</v>
      </c>
      <c r="C20" s="38">
        <v>15</v>
      </c>
      <c r="D20" s="39">
        <v>15</v>
      </c>
      <c r="E20" s="40" t="s">
        <v>44</v>
      </c>
      <c r="F20" s="41">
        <v>360</v>
      </c>
      <c r="G20" s="41">
        <v>390</v>
      </c>
      <c r="H20">
        <f>H18*40</f>
        <v>580</v>
      </c>
      <c r="I20">
        <f>I18*40</f>
        <v>624</v>
      </c>
    </row>
    <row r="21" spans="1:9" ht="33" customHeight="1">
      <c r="A21" s="36">
        <v>8</v>
      </c>
      <c r="B21" s="37" t="s">
        <v>55</v>
      </c>
      <c r="C21" s="38">
        <v>6</v>
      </c>
      <c r="D21" s="39">
        <v>6</v>
      </c>
      <c r="E21" s="40" t="s">
        <v>44</v>
      </c>
      <c r="F21" s="41">
        <v>380</v>
      </c>
      <c r="G21" s="41">
        <v>410</v>
      </c>
    </row>
    <row r="22" spans="1:9" ht="33" customHeight="1">
      <c r="A22" s="36">
        <v>9</v>
      </c>
      <c r="B22" s="37" t="s">
        <v>56</v>
      </c>
      <c r="C22" s="38">
        <v>5</v>
      </c>
      <c r="D22" s="39">
        <v>5</v>
      </c>
      <c r="E22" s="40" t="s">
        <v>44</v>
      </c>
      <c r="F22" s="41">
        <v>433</v>
      </c>
      <c r="G22" s="41">
        <v>474</v>
      </c>
    </row>
    <row r="23" spans="1:9" ht="33" customHeight="1">
      <c r="A23" s="36">
        <v>10</v>
      </c>
      <c r="B23" s="37" t="s">
        <v>57</v>
      </c>
      <c r="C23" s="38">
        <v>4</v>
      </c>
      <c r="D23" s="39">
        <v>4</v>
      </c>
      <c r="E23" s="40" t="s">
        <v>44</v>
      </c>
      <c r="F23" s="41">
        <v>1200</v>
      </c>
      <c r="G23" s="41">
        <v>1280</v>
      </c>
    </row>
    <row r="24" spans="1:9" ht="33" customHeight="1">
      <c r="A24" s="36">
        <v>11</v>
      </c>
      <c r="B24" s="37" t="s">
        <v>59</v>
      </c>
      <c r="C24" s="38">
        <v>1</v>
      </c>
      <c r="D24" s="39">
        <v>1</v>
      </c>
      <c r="E24" s="40" t="s">
        <v>44</v>
      </c>
      <c r="F24" s="41">
        <v>55</v>
      </c>
      <c r="G24" s="41">
        <v>65</v>
      </c>
    </row>
    <row r="25" spans="1:9" ht="33" customHeight="1">
      <c r="A25" s="36">
        <v>12</v>
      </c>
      <c r="B25" s="37" t="s">
        <v>60</v>
      </c>
      <c r="C25" s="38">
        <v>3</v>
      </c>
      <c r="D25" s="39">
        <v>3</v>
      </c>
      <c r="E25" s="40" t="s">
        <v>44</v>
      </c>
      <c r="F25" s="41">
        <v>170</v>
      </c>
      <c r="G25" s="41">
        <v>190</v>
      </c>
    </row>
    <row r="26" spans="1:9" ht="33" customHeight="1">
      <c r="A26" s="36">
        <v>13</v>
      </c>
      <c r="B26" s="37" t="s">
        <v>61</v>
      </c>
      <c r="C26" s="38">
        <v>2</v>
      </c>
      <c r="D26" s="39">
        <v>2</v>
      </c>
      <c r="E26" s="40" t="s">
        <v>44</v>
      </c>
      <c r="F26" s="41">
        <v>125</v>
      </c>
      <c r="G26" s="41">
        <v>140</v>
      </c>
    </row>
    <row r="27" spans="1:9" s="45" customFormat="1" ht="17.399999999999999">
      <c r="A27" s="59" t="s">
        <v>80</v>
      </c>
      <c r="B27" s="59"/>
      <c r="C27" s="42"/>
      <c r="D27" s="43">
        <f>SUM(D14:D26)</f>
        <v>412</v>
      </c>
      <c r="E27" s="44"/>
      <c r="F27" s="49">
        <f t="shared" ref="F27:G27" si="0">SUM(F14:F26)</f>
        <v>8043</v>
      </c>
      <c r="G27" s="49">
        <f t="shared" si="0"/>
        <v>8756</v>
      </c>
    </row>
    <row r="28" spans="1:9" s="45" customFormat="1" ht="110.25" customHeight="1">
      <c r="A28" s="60" t="s">
        <v>79</v>
      </c>
      <c r="B28" s="61"/>
      <c r="C28" s="61"/>
      <c r="D28" s="62"/>
      <c r="E28" s="46"/>
      <c r="F28" s="47"/>
      <c r="G28" s="48"/>
    </row>
    <row r="29" spans="1:9" s="45" customFormat="1" ht="15.6">
      <c r="A29" s="63" t="s">
        <v>66</v>
      </c>
      <c r="B29" s="64"/>
      <c r="C29" s="64"/>
      <c r="D29" s="64"/>
      <c r="E29" s="64"/>
      <c r="F29" s="64"/>
      <c r="G29" s="65"/>
    </row>
  </sheetData>
  <mergeCells count="21">
    <mergeCell ref="A1:G1"/>
    <mergeCell ref="A2:G2"/>
    <mergeCell ref="A4:B4"/>
    <mergeCell ref="C4:G4"/>
    <mergeCell ref="D3:G3"/>
    <mergeCell ref="D5:G5"/>
    <mergeCell ref="D6:G6"/>
    <mergeCell ref="D7:G7"/>
    <mergeCell ref="D8:G8"/>
    <mergeCell ref="D9:G9"/>
    <mergeCell ref="A27:B27"/>
    <mergeCell ref="A28:D28"/>
    <mergeCell ref="A29:G29"/>
    <mergeCell ref="A10:G10"/>
    <mergeCell ref="A11:G11"/>
    <mergeCell ref="A12:A13"/>
    <mergeCell ref="B12:B13"/>
    <mergeCell ref="C12:C13"/>
    <mergeCell ref="D12:D13"/>
    <mergeCell ref="E12:E13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PAWAR</cp:lastModifiedBy>
  <cp:revision>0</cp:revision>
  <dcterms:created xsi:type="dcterms:W3CDTF">2026-06-24T16:24:37Z</dcterms:created>
  <dcterms:modified xsi:type="dcterms:W3CDTF">2026-06-25T07:24:47Z</dcterms:modified>
  <dc:language>en-US</dc:language>
</cp:coreProperties>
</file>