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Om work1\ERP\Yinglima_ERP\doc\"/>
    </mc:Choice>
  </mc:AlternateContent>
  <xr:revisionPtr revIDLastSave="0" documentId="13_ncr:1_{23CEE500-3A37-45B5-863E-734B80D4EFFB}" xr6:coauthVersionLast="47" xr6:coauthVersionMax="47" xr10:uidLastSave="{00000000-0000-0000-0000-000000000000}"/>
  <bookViews>
    <workbookView xWindow="-108" yWindow="-108" windowWidth="23256" windowHeight="13896" activeTab="1" xr2:uid="{00000000-000D-0000-FFFF-FFFF00000000}"/>
  </bookViews>
  <sheets>
    <sheet name="Dashboard" sheetId="1" r:id="rId1"/>
    <sheet name="Master Check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 r="F17" i="1"/>
  <c r="E17" i="1"/>
  <c r="D17" i="1"/>
  <c r="H17" i="1" s="1"/>
  <c r="H16" i="1"/>
  <c r="G16" i="1"/>
  <c r="F16" i="1"/>
  <c r="E16" i="1"/>
  <c r="D16" i="1"/>
  <c r="G15" i="1"/>
  <c r="F15" i="1"/>
  <c r="E15" i="1"/>
  <c r="D15" i="1"/>
  <c r="H15" i="1" s="1"/>
  <c r="G14" i="1"/>
  <c r="F14" i="1"/>
  <c r="E14" i="1"/>
  <c r="D14" i="1"/>
  <c r="H14" i="1" s="1"/>
  <c r="G13" i="1"/>
  <c r="F13" i="1"/>
  <c r="E13" i="1"/>
  <c r="D13" i="1"/>
  <c r="H13" i="1" s="1"/>
  <c r="G12" i="1"/>
  <c r="F12" i="1"/>
  <c r="E12" i="1"/>
  <c r="D12" i="1"/>
  <c r="H12" i="1" s="1"/>
  <c r="G11" i="1"/>
  <c r="F11" i="1"/>
  <c r="E11" i="1"/>
  <c r="D11" i="1"/>
  <c r="H11" i="1" s="1"/>
  <c r="G10" i="1"/>
  <c r="F10" i="1"/>
  <c r="E10" i="1"/>
  <c r="D10" i="1"/>
  <c r="H10" i="1" s="1"/>
  <c r="G9" i="1"/>
  <c r="F9" i="1"/>
  <c r="E9" i="1"/>
  <c r="D9" i="1"/>
  <c r="H9" i="1" s="1"/>
  <c r="G8" i="1"/>
  <c r="F8" i="1"/>
  <c r="E8" i="1"/>
  <c r="D8" i="1"/>
  <c r="H8" i="1" s="1"/>
  <c r="I4" i="1"/>
  <c r="G4" i="1"/>
  <c r="E4" i="1"/>
  <c r="C4" i="1"/>
</calcChain>
</file>

<file path=xl/sharedStrings.xml><?xml version="1.0" encoding="utf-8"?>
<sst xmlns="http://schemas.openxmlformats.org/spreadsheetml/2006/main" count="834" uniqueCount="501">
  <si>
    <t>Yinglima ERP — System Testing &amp; Quality Dashboard</t>
  </si>
  <si>
    <t>Live Test Execution Summary &amp; Real-time Progress Tracking</t>
  </si>
  <si>
    <t>Total Test Cases</t>
  </si>
  <si>
    <t>Passed</t>
  </si>
  <si>
    <t>Failed</t>
  </si>
  <si>
    <t>Pending</t>
  </si>
  <si>
    <t>#</t>
  </si>
  <si>
    <t>Module Name</t>
  </si>
  <si>
    <t>Target Route</t>
  </si>
  <si>
    <t>Total Tests</t>
  </si>
  <si>
    <t>Pass Rate (%)</t>
  </si>
  <si>
    <t>Suppliers Module</t>
  </si>
  <si>
    <t>/suppliers</t>
  </si>
  <si>
    <t>Buyers Module</t>
  </si>
  <si>
    <t>/buyers</t>
  </si>
  <si>
    <t>Product Master Module</t>
  </si>
  <si>
    <t>/products</t>
  </si>
  <si>
    <t>Product Prices Module</t>
  </si>
  <si>
    <t>/product-prices</t>
  </si>
  <si>
    <t>Inquiries &amp; RFQ Module</t>
  </si>
  <si>
    <t>/inquiries</t>
  </si>
  <si>
    <t>Local Purchase Module</t>
  </si>
  <si>
    <t>/purchase/local</t>
  </si>
  <si>
    <t>Shipment Planning Module</t>
  </si>
  <si>
    <t>/planning</t>
  </si>
  <si>
    <t>Sale Process &amp; CI Module</t>
  </si>
  <si>
    <t>/sale/process</t>
  </si>
  <si>
    <t>Master Data &amp; Settings</t>
  </si>
  <si>
    <t>/masters/*</t>
  </si>
  <si>
    <t>User Management &amp; Auth</t>
  </si>
  <si>
    <t>/users</t>
  </si>
  <si>
    <t>Yinglima ERP — Complete Manual &amp; Automated Test Checklist</t>
  </si>
  <si>
    <t>Select PASS / FAIL / BLOCKED in the Status column. Add testing feedback in Notes.</t>
  </si>
  <si>
    <t>Module</t>
  </si>
  <si>
    <t>Test ID</t>
  </si>
  <si>
    <t>Test Description</t>
  </si>
  <si>
    <t>Test Steps</t>
  </si>
  <si>
    <t>Expected Behavior</t>
  </si>
  <si>
    <t>Status</t>
  </si>
  <si>
    <t>Observed Behavior / Notes</t>
  </si>
  <si>
    <t>Tested By</t>
  </si>
  <si>
    <t>Date Tested</t>
  </si>
  <si>
    <t>Suppliers</t>
  </si>
  <si>
    <t>SUP-01</t>
  </si>
  <si>
    <t>Add New Supplier (Happy Path)</t>
  </si>
  <si>
    <t>1. Click '+ Add Supplier'
2. Fill Company Name, China, Zhejiang, Wenzhou.
3. Fill Contact Person &amp; Phone.
4. Click Save.</t>
  </si>
  <si>
    <t>Supplier created; appears at top of table with green success toast.</t>
  </si>
  <si>
    <t>PENDING</t>
  </si>
  <si>
    <t>Admin</t>
  </si>
  <si>
    <t>SUP-02</t>
  </si>
  <si>
    <t>Duplicate Company Name Validation</t>
  </si>
  <si>
    <t>1. Click '+ Add Supplier'
2. Type the exact same Company Name as an existing supplier.
3. Blur field.</t>
  </si>
  <si>
    <t>Red inline warning appears: '⛔ Supplier already exists'. Save button disabled.</t>
  </si>
  <si>
    <t>SUP-03</t>
  </si>
  <si>
    <t>Similar Supplier Suggestion Dropdown</t>
  </si>
  <si>
    <t>1. Type partial name of existing supplier (e.g. 'Dingye').</t>
  </si>
  <si>
    <t>Dropdown shows 'EXISTING SIMILAR SUPPLIERS' with matching supplier types.</t>
  </si>
  <si>
    <t>SUP-04</t>
  </si>
  <si>
    <t>Geographic Cascading Selection</t>
  </si>
  <si>
    <t>1. Select Country = 'China'.
2. Select State = 'Zhejiang'.
3. Check City dropdown.</t>
  </si>
  <si>
    <t>State dropdown lists Chinese provinces. City dropdown filters to Zhejiang cities (Wenzhou, Ningbo).</t>
  </si>
  <si>
    <t>SUP-05</t>
  </si>
  <si>
    <t>Visit Photo Upload</t>
  </si>
  <si>
    <t>1. Upload 2 JPG/PNG photos in Visit Photos area.
2. Save supplier.
3. Open detail modal.</t>
  </si>
  <si>
    <t>Photos render as thumbnails; clicking opens high-res image modal.</t>
  </si>
  <si>
    <t>SUP-06</t>
  </si>
  <si>
    <t>Visit Photo Deletion</t>
  </si>
  <si>
    <t>1. Edit supplier with photos.
2. Click delete on one photo.
3. Save supplier.</t>
  </si>
  <si>
    <t>Deleted photo disappears; remaining photo is preserved in database.</t>
  </si>
  <si>
    <t>SUP-07</t>
  </si>
  <si>
    <t>Video Links Pill Rendering</t>
  </si>
  <si>
    <t>1. Add YouTube and Google Drive links in Video Links field.
2. Save and view detail.</t>
  </si>
  <si>
    <t>Renders interactive pills: '▶️ YouTube' and '📁 Google Drive'. Clicking opens in new tab.</t>
  </si>
  <si>
    <t>SUP-08</t>
  </si>
  <si>
    <t>Status Governance (New -&gt; Existing)</t>
  </si>
  <si>
    <t>1. Change status from 'New' to 'Existing'.
2. Save supplier.
3. Edit supplier again.</t>
  </si>
  <si>
    <t>Once saved as 'Existing', business rules lock it from reverting back to 'New'.</t>
  </si>
  <si>
    <t>SUP-09</t>
  </si>
  <si>
    <t>Supplier Search &amp; Filters</t>
  </si>
  <si>
    <t>1. Type city name or contact in search box.
2. Filter by Grade 'A'.</t>
  </si>
  <si>
    <t>Table filters in real-time matching search query and selected grade.</t>
  </si>
  <si>
    <t>SUP-10</t>
  </si>
  <si>
    <t>Export Suppliers to Excel</t>
  </si>
  <si>
    <t>1. Click 'Export' button in top bar.</t>
  </si>
  <si>
    <t>Downloads formatted Excel file with all active suppliers and complete fields.</t>
  </si>
  <si>
    <t>SUP-11</t>
  </si>
  <si>
    <t>Soft Delete Supplier</t>
  </si>
  <si>
    <t>1. Click delete button on row.
2. Confirm dialog.</t>
  </si>
  <si>
    <t>Row disappears from active table; 'deleted_at' timestamp set in DB.</t>
  </si>
  <si>
    <t>SUP-12</t>
  </si>
  <si>
    <t>Duplicate Phone/WeChat Alert</t>
  </si>
  <si>
    <t>1. Add supplier with identical phone number to existing supplier.</t>
  </si>
  <si>
    <t>Warning banner alerts operator of duplicate contact phone number conflict.</t>
  </si>
  <si>
    <t>Buyers</t>
  </si>
  <si>
    <t>BUY-01</t>
  </si>
  <si>
    <t>Add New Buyer (Happy Path)</t>
  </si>
  <si>
    <t>1. Click '+ Add Buyer'.
2. Enter Inhyma Industrial, India, Mumbai.
3. Enter GST/Tax ID &amp; Contact.
4. Click Save.</t>
  </si>
  <si>
    <t>Buyer created and visible in list; searchable by name or country.</t>
  </si>
  <si>
    <t>BUY-02</t>
  </si>
  <si>
    <t>Duplicate Buyer Name Check</t>
  </si>
  <si>
    <t>1. Try adding buyer with identical existing name.</t>
  </si>
  <si>
    <t>Red error alert prevents creating duplicate buyer profile.</t>
  </si>
  <si>
    <t>BUY-03</t>
  </si>
  <si>
    <t>Add Delivery Branches</t>
  </si>
  <si>
    <t>1. In Buyer form, add 2 delivery branches (e.g. 'Mumbai Central' &amp; 'Nhava Sheva').
2. Save.</t>
  </si>
  <si>
    <t>Branches saved in branches array; available in Sale Process destination dropdown.</t>
  </si>
  <si>
    <t>BUY-04</t>
  </si>
  <si>
    <t>Edit Buyer Details</t>
  </si>
  <si>
    <t>1. Edit address and phone of an existing buyer.
2. Save and reopen.</t>
  </si>
  <si>
    <t>Updated address and contact details persist cleanly.</t>
  </si>
  <si>
    <t>BUY-05</t>
  </si>
  <si>
    <t>Soft Delete Buyer</t>
  </si>
  <si>
    <t>1. Delete a test buyer.</t>
  </si>
  <si>
    <t>Buyer disappears from list; cannot be assigned to new Inquiries.</t>
  </si>
  <si>
    <t>BUY-06</t>
  </si>
  <si>
    <t>Export Buyers to Excel</t>
  </si>
  <si>
    <t>1. Click 'Export' button.</t>
  </si>
  <si>
    <t>Generates formatted Excel file with all buyers and branch locations.</t>
  </si>
  <si>
    <t>BUY-07</t>
  </si>
  <si>
    <t>Inquiry Dropdown Linkage</t>
  </si>
  <si>
    <t>1. Navigate to '/inquiries/new'.
2. Open Buyer dropdown.</t>
  </si>
  <si>
    <t>Newly created buyer appears immediately in the dropdown list.</t>
  </si>
  <si>
    <t>BUY-08</t>
  </si>
  <si>
    <t>Sale Process Buyer Linkage</t>
  </si>
  <si>
    <t>1. Navigate to '/sale/process/new'.
2. Select Buyer.</t>
  </si>
  <si>
    <t>Buyer address and branch options populate automatically.</t>
  </si>
  <si>
    <t>Product Master</t>
  </si>
  <si>
    <t>PRD-01</t>
  </si>
  <si>
    <t>Add New Product (Happy Path)</t>
  </si>
  <si>
    <t>1. Click '+ Add Product'.
2. Enter Name, SKU, Category, UOM.
3. Pick HS Code 8422.30.00.
4. Enter L 88, W 42, H 38.
5. Save.</t>
  </si>
  <si>
    <t>Product created with auto-calculated CBM 0.140448 m³ and Refund VAT 13.00%.</t>
  </si>
  <si>
    <t>PRD-02</t>
  </si>
  <si>
    <t>Live Dimension to CBM Auto-Math</t>
  </si>
  <si>
    <t>1. In product form, type L=100, W=50, H=40.
2. Observe CBM field.</t>
  </si>
  <si>
    <t>CBM auto-updates to 0.200000 m³ immediately without manual calculation.</t>
  </si>
  <si>
    <t>PRD-03</t>
  </si>
  <si>
    <t>Duplicate Product Name Check</t>
  </si>
  <si>
    <t>1. Type an existing product name into Name field.
2. Pause 300ms.</t>
  </si>
  <si>
    <t>Red inline warning: '⚠️ Product name already exists in master!'. Save disabled.</t>
  </si>
  <si>
    <t>PRD-04</t>
  </si>
  <si>
    <t>HSN Refund VAT Auto-Sync</t>
  </si>
  <si>
    <t>1. Select HSN '8422.30.00'.</t>
  </si>
  <si>
    <t>Refund VAT % auto-populates to 13.00% directly from HSN master table.</t>
  </si>
  <si>
    <t>PRD-05</t>
  </si>
  <si>
    <t>Dual-Mode Import: Add New Records</t>
  </si>
  <si>
    <t>1. Click 'Import'.
2. Mode: '➕ Add New Records Only'.
3. Upload CSV with 3 new items &amp; 1 existing.</t>
  </si>
  <si>
    <t>3 new items imported; 1 existing item safely skipped with warning count.</t>
  </si>
  <si>
    <t>PRD-06</t>
  </si>
  <si>
    <t>Dual-Mode Import: Update Existing</t>
  </si>
  <si>
    <t>1. Mode: '✏️ Update Existing Records'.
2. Upload CSV modifying dimensions of 2 existing products.</t>
  </si>
  <si>
    <t>Existing products updated; empty CSV columns do NOT erase database values.</t>
  </si>
  <si>
    <t>PRD-07</t>
  </si>
  <si>
    <t>Product Image Upload &amp; Preview</t>
  </si>
  <si>
    <t>1. Upload 3 photos to Product Gallery tab.
2. Save product.
3. View product in list.</t>
  </si>
  <si>
    <t>Main thumbnail renders in table; clicking opens carousel gallery preview.</t>
  </si>
  <si>
    <t>PRD-08</t>
  </si>
  <si>
    <t>Product Image Deletion</t>
  </si>
  <si>
    <t>1. Edit product, remove 1 image.
2. Save.</t>
  </si>
  <si>
    <t>Image removed from database and cloud storage without orphan errors.</t>
  </si>
  <si>
    <t>PRD-09</t>
  </si>
  <si>
    <t>Gross Weight vs Net Weight Validation</t>
  </si>
  <si>
    <t>1. Enter Net Weight = 50 kg and Gross Weight = 40 kg.</t>
  </si>
  <si>
    <t>Validation warning: Gross Weight must be greater than or equal to Net Weight.</t>
  </si>
  <si>
    <t>PRD-10</t>
  </si>
  <si>
    <t>Status Toggle Switch</t>
  </si>
  <si>
    <t>1. Click active/inactive switch on product row.</t>
  </si>
  <si>
    <t>Product toggles between Active and Inactive optimistically in DB.</t>
  </si>
  <si>
    <t>PRD-11</t>
  </si>
  <si>
    <t>Export Products Catalog</t>
  </si>
  <si>
    <t>1. Click 'Export' -&gt; 'Full Catalog (Excel)'.</t>
  </si>
  <si>
    <t>Downloads spreadsheet containing all products with dimensions, CBM, and HSN.</t>
  </si>
  <si>
    <t>PRD-12</t>
  </si>
  <si>
    <t>Quick Filter by Category</t>
  </si>
  <si>
    <t>1. Filter by 'Packaging Machinery'.</t>
  </si>
  <si>
    <t>Table filters instantly; displays matching machines with category badges.</t>
  </si>
  <si>
    <t>PRD-13</t>
  </si>
  <si>
    <t>Search by China HS Code</t>
  </si>
  <si>
    <t>1. Type '8422' in search bar.</t>
  </si>
  <si>
    <t>All machinery under HS Code 8422 display with refund tax rates.</t>
  </si>
  <si>
    <t>PRD-14</t>
  </si>
  <si>
    <t>Soft Delete &amp; Trash Tab</t>
  </si>
  <si>
    <t>1. Delete a product.
2. Switch to 'Trash / Archive' tab.
3. Click 'Restore'.</t>
  </si>
  <si>
    <t>Product restored back to active catalog with original SKU.</t>
  </si>
  <si>
    <t>PRD-15</t>
  </si>
  <si>
    <t>UOM Consistency</t>
  </si>
  <si>
    <t>1. Create product with UOM = 'SET'.
2. Add to Sale Process.</t>
  </si>
  <si>
    <t>UOM transfers as 'SET' rather than defaulting to 'NOS'.</t>
  </si>
  <si>
    <t>Product Prices</t>
  </si>
  <si>
    <t>PRC-01</t>
  </si>
  <si>
    <t>Add Supplier Quotation</t>
  </si>
  <si>
    <t>1. Click '+ Add Price / Quote'.
2. Pick Product, Supplier, Price 450.00 ¥, Currency CNY.
3. Save.</t>
  </si>
  <si>
    <t>Quote added; appears under product quotation accordion.</t>
  </si>
  <si>
    <t>PRC-02</t>
  </si>
  <si>
    <t>Accordion Quotation Comparison</t>
  </si>
  <si>
    <t>1. Click 'Compare ▾' on product with multiple quotes.</t>
  </si>
  <si>
    <t>Expands sub-table displaying all factory bids side-by-side with dates and MOQs.</t>
  </si>
  <si>
    <t>PRC-03</t>
  </si>
  <si>
    <t>Set Manual Preferred Supplier</t>
  </si>
  <si>
    <t>1. In accordion, click '[⭐ Set Preferred]' on preferred factory.</t>
  </si>
  <si>
    <t>Golden '⭐ PREFERRED' badge moves to that factory; products.supplier_id updated in DB.</t>
  </si>
  <si>
    <t>PRC-04</t>
  </si>
  <si>
    <t>Automatic Lowest Bid Badge</t>
  </si>
  <si>
    <t>1. Compare 3 quotes: ¥400, ¥450, ¥500.</t>
  </si>
  <si>
    <t>Factory with ¥400 automatically displays green '[ LOWEST ]' badge.</t>
  </si>
  <si>
    <t>PRC-05</t>
  </si>
  <si>
    <t>Currency Switcher Parity</t>
  </si>
  <si>
    <t>1. Switch global currency toggle to 'USD ($)'.</t>
  </si>
  <si>
    <t>Quotations convert to USD using live exchange rate; converted hint '(~$ 67.16)' appears.</t>
  </si>
  <si>
    <t>PRC-06</t>
  </si>
  <si>
    <t>Inheritance in Local Purchase</t>
  </si>
  <si>
    <t>1. Create Local Purchase for product and select preferred supplier.</t>
  </si>
  <si>
    <t>Unit rate auto-fills with that supplier's exact quoted price.</t>
  </si>
  <si>
    <t>PRC-07</t>
  </si>
  <si>
    <t>MOQ Auto-Inheritance</t>
  </si>
  <si>
    <t>1. Supplier quote has MOQ = 50.
2. Add product to Local Purchase.</t>
  </si>
  <si>
    <t>Quantity initializes to 50 units matching quote MOQ.</t>
  </si>
  <si>
    <t>PRC-08</t>
  </si>
  <si>
    <t>Delete Quotation</t>
  </si>
  <si>
    <t>1. Delete an outdated factory quote from accordion.</t>
  </si>
  <si>
    <t>Quote removed; remaining quotes re-evaluated for lowest badge.</t>
  </si>
  <si>
    <t>PRC-09</t>
  </si>
  <si>
    <t>Export Price Directory</t>
  </si>
  <si>
    <t>1. Click 'Export Price Matrix'.</t>
  </si>
  <si>
    <t>Downloads complete quotation benchmark report across all suppliers.</t>
  </si>
  <si>
    <t>PRC-10</t>
  </si>
  <si>
    <t>Quote Fallback in Sale Process</t>
  </si>
  <si>
    <t>1. Load item with NO confirmed Local Purchase but HAS a quote.</t>
  </si>
  <si>
    <t>Sourcing falls back cleanly to preferred supplier quotation rate.</t>
  </si>
  <si>
    <t>Inquiries &amp; RFQ</t>
  </si>
  <si>
    <t>INQ-01</t>
  </si>
  <si>
    <t>Create New RFQ Inquiry</t>
  </si>
  <si>
    <t>1. Click '+ New Inquiry'.
2. Pick Buyer, Date, add 2 products with quantities.
3. Save.</t>
  </si>
  <si>
    <t>Inquiry created with status 'Draft'; line items total displayed.</t>
  </si>
  <si>
    <t>INQ-02</t>
  </si>
  <si>
    <t>Assign Candidate Suppliers</t>
  </si>
  <si>
    <t>1. In Inquiry, check 3 candidate factories from supplier picker.
2. Save.</t>
  </si>
  <si>
    <t>Suppliers linked to inquiry; RFQ dispatch action enabled.</t>
  </si>
  <si>
    <t>INQ-03</t>
  </si>
  <si>
    <t>Dispatch RFQ Email</t>
  </si>
  <si>
    <t>1. Click '✉️ Send RFQ to Suppliers'.</t>
  </si>
  <si>
    <t>Backend generates bilingual email and sends via SMTP; status updates to 'Sent'.</t>
  </si>
  <si>
    <t>INQ-04</t>
  </si>
  <si>
    <t>WeChat Quick Link Generation</t>
  </si>
  <si>
    <t>1. Click '💬 WeChat Share Link'.</t>
  </si>
  <si>
    <t>Copies unique RFQ portal URL for Chinese factory to submit quote without login.</t>
  </si>
  <si>
    <t>INQ-05</t>
  </si>
  <si>
    <t>Public Supplier Quote Portal</t>
  </si>
  <si>
    <t>1. Open RFQ link in incognito browser.
2. Fill Unit Price ¥680, MOQ 5, Lead Time 15 days.
3. Submit.</t>
  </si>
  <si>
    <t>Factory quotation recorded directly into inquiry without auth error.</t>
  </si>
  <si>
    <t>INQ-06</t>
  </si>
  <si>
    <t>Inbound Email Reply Detection</t>
  </si>
  <si>
    <t>1. Simulate supplier replying to RFQ email with price.</t>
  </si>
  <si>
    <t>Background IMAP poller catches reply, updates status to 'Replied'.</t>
  </si>
  <si>
    <t>INQ-07</t>
  </si>
  <si>
    <t>AI Price Extraction</t>
  </si>
  <si>
    <t>1. Click '⚡ AI Extract Quotes' on inquiry with supplier reply.</t>
  </si>
  <si>
    <t>AI parses email body and attachment, extracting rates into comparison columns.</t>
  </si>
  <si>
    <t>INQ-08</t>
  </si>
  <si>
    <t>Close / Convert Inquiry</t>
  </si>
  <si>
    <t>1. Accept quote and click 'Convert to Local Purchase'.</t>
  </si>
  <si>
    <t>Opens Local Purchase pre-filled with accepted supplier and negotiated rates.</t>
  </si>
  <si>
    <t>INQ-09</t>
  </si>
  <si>
    <t>Export Inquiry Summary</t>
  </si>
  <si>
    <t>1. Click 'Export PDF / Excel'.</t>
  </si>
  <si>
    <t>Generates customer inquiry quotation summary sheet.</t>
  </si>
  <si>
    <t>INQ-10</t>
  </si>
  <si>
    <t>License Required Highlight</t>
  </si>
  <si>
    <t>1. Add product that has license_certificate_required set.</t>
  </si>
  <si>
    <t>Inquiry line highlights in RED warning operator of export license requirement.</t>
  </si>
  <si>
    <t>Local Purchase</t>
  </si>
  <si>
    <t>LP-01</t>
  </si>
  <si>
    <t>Create Local Purchase (Happy Path)</t>
  </si>
  <si>
    <t>1. Pick Supplier Dingye.
2. Invoice No INV-001, Date Today.
3. Add FR900 MSH, Qty 10, Rate 713 ¥.
4. Enter Total Value 8056.90 ¥.</t>
  </si>
  <si>
    <t>Basic = ¥7,130.00, VAT = ¥926.90. Green match banner appears!</t>
  </si>
  <si>
    <t>LP-02</t>
  </si>
  <si>
    <t>Green Match Banner Trigger</t>
  </si>
  <si>
    <t>1. Ensure 'Invoice Total with VAT' matches (Basic + VAT + Expenses).</t>
  </si>
  <si>
    <t>Green bar displays: '✔ Invoice Total Matches Line Items Perfectly (¥ 8,056.90)'.</t>
  </si>
  <si>
    <t>LP-03</t>
  </si>
  <si>
    <t>Red Mismatch Warning</t>
  </si>
  <si>
    <t>1. Enter Invoice Total = ¥8,000.00 while items sum to ¥8,056.90.</t>
  </si>
  <si>
    <t>Glowing red alert appears showing variance of -¥56.90.</t>
  </si>
  <si>
    <t>LP-04</t>
  </si>
  <si>
    <t>Landing Expense Allocation (Value-Based)</t>
  </si>
  <si>
    <t>1. Enter Transport Freight = ¥500.00 across 2 products of different values.</t>
  </si>
  <si>
    <t>Expenses allocated proportionally based on basic value; Unit Landing Rate updates.</t>
  </si>
  <si>
    <t>LP-05</t>
  </si>
  <si>
    <t>Confirm Local Purchase</t>
  </si>
  <si>
    <t>1. Click 'Confirm Order' button.
2. Confirm dialog.</t>
  </si>
  <si>
    <t>Status changes to 'Confirmed'; rates become available for Sale Process!</t>
  </si>
  <si>
    <t>LP-06</t>
  </si>
  <si>
    <t>Draft Status Isolation</t>
  </si>
  <si>
    <t>1. Leave Local Purchase in 'Draft' status.
2. Open Sale Process.</t>
  </si>
  <si>
    <t>Sale Process does NOT source price from Draft; only 'Confirmed' purchases are sourced!</t>
  </si>
  <si>
    <t>LP-07</t>
  </si>
  <si>
    <t>Bill Document Upload (PDF/Image)</t>
  </si>
  <si>
    <t>1. Upload scanned tax invoice invoice.pdf.
2. Save and view detail modal.</t>
  </si>
  <si>
    <t>File preview and download link available in modal.</t>
  </si>
  <si>
    <t>LP-08</t>
  </si>
  <si>
    <t>AI Bill Data Extraction</t>
  </si>
  <si>
    <t>1. Click '⚡ Extract Bill Data' and upload invoice image.</t>
  </si>
  <si>
    <t>AI scans tax invoice, extracting Invoice No, Date, Total, and line items.</t>
  </si>
  <si>
    <t>LP-09</t>
  </si>
  <si>
    <t>CSV/Excel Bill Import</t>
  </si>
  <si>
    <t>1. Click 'Import Bill (CSV/Excel)'.
2. Upload purchase items sheet.</t>
  </si>
  <si>
    <t>Line items populate into table with quantities and unit rates automatically.</t>
  </si>
  <si>
    <t>LP-10</t>
  </si>
  <si>
    <t>Duplicate Invoice No Prevention</t>
  </si>
  <si>
    <t>1. Create second purchase with identical Invoice No for same supplier.</t>
  </si>
  <si>
    <t>System blocks submission: 'Invoice No already exists for this supplier'.</t>
  </si>
  <si>
    <t>LP-11</t>
  </si>
  <si>
    <t>Dynamic VAT % Modification</t>
  </si>
  <si>
    <t>1. Change VAT % on line item from 13% to 9%.</t>
  </si>
  <si>
    <t>VAT recalculates to Item Total × 9%; green match bar dynamically re-evaluates.</t>
  </si>
  <si>
    <t>LP-12</t>
  </si>
  <si>
    <t>Zero Quantity Rejection</t>
  </si>
  <si>
    <t>1. Enter Qty 0 on line item and attempt save.</t>
  </si>
  <si>
    <t>Validation error highlights field in red: 'Quantity must be greater than 0'.</t>
  </si>
  <si>
    <t>LP-13</t>
  </si>
  <si>
    <t>Export Local Purchases to Excel</t>
  </si>
  <si>
    <t>1. Click 'Export' button in list view.</t>
  </si>
  <si>
    <t>Generates complete domestic purchase journal with basic, VAT, and landing totals.</t>
  </si>
  <si>
    <t>LP-14</t>
  </si>
  <si>
    <t>Local Purchase PDF Generation</t>
  </si>
  <si>
    <t>1. In detail modal, click 'Print / Download PDF'.</t>
  </si>
  <si>
    <t>Generates official bilingual purchase order voucher with signature and stamp blocks.</t>
  </si>
  <si>
    <t>LP-15</t>
  </si>
  <si>
    <t>Soft Delete Local Purchase</t>
  </si>
  <si>
    <t>1. Delete a draft purchase.</t>
  </si>
  <si>
    <t>Deleted safely; does not affect historical cost records.</t>
  </si>
  <si>
    <t>LP-16</t>
  </si>
  <si>
    <t>Edit Confirmed Purchase (Admin Unlock)</t>
  </si>
  <si>
    <t>1. Admin unlocks confirmed purchase to edit invoice date.
2. Re-confirms.</t>
  </si>
  <si>
    <t>Updates cleanly with audit log entry.</t>
  </si>
  <si>
    <t>Shipment Planning</t>
  </si>
  <si>
    <t>PLN-01</t>
  </si>
  <si>
    <t>Create Planning Sheet</t>
  </si>
  <si>
    <t>1. Click '+ New Sheet'.
2. Name sheet 'Container Exp 2026-10'.
3. Pick Container Type 40HQ.</t>
  </si>
  <si>
    <t>Sheet initialized with target container capacity 68.000 m³.</t>
  </si>
  <si>
    <t>PLN-02</t>
  </si>
  <si>
    <t>Add Consignment Column</t>
  </si>
  <si>
    <t>1. Click '+ Add Consignment'.
2. Enter Code 'Muminhyma 5', Buyer 'Inhyma Mumbai'.</t>
  </si>
  <si>
    <t>Consignment column added to grid; ready for row entries.</t>
  </si>
  <si>
    <t>PLN-03</t>
  </si>
  <si>
    <t>Row Product Linkage</t>
  </si>
  <si>
    <t>1. Select product link.
2. Pick FR900 Band Sealer MSH.</t>
  </si>
  <si>
    <t>Row linked to Product Master; unit CBM 0.140448 and weights auto-populate.</t>
  </si>
  <si>
    <t>PLN-04</t>
  </si>
  <si>
    <t>Quantity to CBM Dynamic Math</t>
  </si>
  <si>
    <t>1. Enter Qty 50 in consignment column.</t>
  </si>
  <si>
    <t>Total CBM auto-calculates: 50 × 0.140448 = 7.0224 m³.</t>
  </si>
  <si>
    <t>PLN-05</t>
  </si>
  <si>
    <t>Carton Box Ceiling Math</t>
  </si>
  <si>
    <t>1. Product packaging qty = 4. Enter order qty = 10.</t>
  </si>
  <si>
    <t>Number of boxes evaluates to CEILING(10 / 4) = 3 boxes.</t>
  </si>
  <si>
    <t>PLN-06</t>
  </si>
  <si>
    <t>Container Capacity Utilization KPI</t>
  </si>
  <si>
    <t>1. Add rows until total CBM reaches 65.5 m³ on a 40HQ container (68 m³).</t>
  </si>
  <si>
    <t>KPI bar shows '96.3% Utilized' in green.</t>
  </si>
  <si>
    <t>PLN-07</t>
  </si>
  <si>
    <t>Overfilled Container Warning</t>
  </si>
  <si>
    <t>1. Add rows exceeding 68.0 m³ (e.g. 72.0 m³).</t>
  </si>
  <si>
    <t>KPI bar turns red warning '⚠️ Container volume exceeded by 4.0 m³!'.</t>
  </si>
  <si>
    <t>PLN-08</t>
  </si>
  <si>
    <t>Row Reordering &amp; Grouping</t>
  </si>
  <si>
    <t>1. Drag row handle or use move up/down buttons.</t>
  </si>
  <si>
    <t>Row order updates smoothly without losing linked product IDs.</t>
  </si>
  <si>
    <t>PLN-09</t>
  </si>
  <si>
    <t>Export Planning Sheet to Excel</t>
  </si>
  <si>
    <t>1. Click 'Export Spreadsheet'.</t>
  </si>
  <si>
    <t>Generates exact multi-consignment grid Excel file matching packing list specifications.</t>
  </si>
  <si>
    <t>PLN-10</t>
  </si>
  <si>
    <t>Consignment Auto-Load in Sale Process</t>
  </si>
  <si>
    <t>1. Open '/sale/process/new'.
2. Select consignment 'Muminhyma 5'.
3. Click 'Auto-Load Items'.</t>
  </si>
  <si>
    <t>All planned products, quantities, and CBM values populate directly into the CI table!</t>
  </si>
  <si>
    <t>PLN-11</t>
  </si>
  <si>
    <t>Removed Buggy Link Row Button Check</t>
  </si>
  <si>
    <t>1. Click on individual cells in the planning grid.</t>
  </si>
  <si>
    <t>Buggy popup modal does NOT open; cell editing is direct and clean.</t>
  </si>
  <si>
    <t>PLN-12</t>
  </si>
  <si>
    <t>Trash &amp; Restore Planning Sheet</t>
  </si>
  <si>
    <t>1. Delete planning sheet.
2. Restore from trash.</t>
  </si>
  <si>
    <t>Sheet restores with all consignments and formula cell values intact.</t>
  </si>
  <si>
    <t>Sale Process &amp; CI</t>
  </si>
  <si>
    <t>SAL-01</t>
  </si>
  <si>
    <t>Sourcing from Confirmed Local Purchase</t>
  </si>
  <si>
    <t>1. In '/sale/process/new', add FR900 MSH (which has Confirmed LP: Rate 713 ¥, VAT 13%).</t>
  </si>
  <si>
    <t>Supplier shows 'Dingye Machinery' with '[✓ Local Purchase]'; Col 8=805.69 ¥; Col 9=713.00 ¥.</t>
  </si>
  <si>
    <t>SAL-02</t>
  </si>
  <si>
    <t>Exact 16-Column CI Header Display</t>
  </si>
  <si>
    <t>1. Ensure Costing &amp; Supplier Columns is Active.
2. Inspect table headers.</t>
  </si>
  <si>
    <t>Displays all 16 official columns wrapped cleanly on two lines matching Excel sheet.</t>
  </si>
  <si>
    <t>SAL-03</t>
  </si>
  <si>
    <t>UOM Regular Value Display (No Grey Placeholder)</t>
  </si>
  <si>
    <t>1. Inspect UOM column on newly added items.</t>
  </si>
  <si>
    <t>UOM displays 'NOS' in bold, solid dark text (#0f172a), NOT faint grey placeholder.</t>
  </si>
  <si>
    <t>SAL-04</t>
  </si>
  <si>
    <t>UOM In-Place Editing</t>
  </si>
  <si>
    <t>1. Click UOM cell and change 'NOS' to 'SET'.
2. Click outside.</t>
  </si>
  <si>
    <t>Value updates to 'SET' and persists in memory and payload.</t>
  </si>
  <si>
    <t>SAL-05</t>
  </si>
  <si>
    <t>Clean Freight Box Input Handling</t>
  </si>
  <si>
    <t>1. Click Ocean Freight input when it is 0.</t>
  </si>
  <si>
    <t>Value is blank with placeholder '0.00'; no need to backspace/erase zero! Text auto-selects.</t>
  </si>
  <si>
    <t>SAL-06</t>
  </si>
  <si>
    <t>Container CBM Auto-Fill on Recalculate</t>
  </si>
  <si>
    <t>1. Leave Total Container CBM as 0.
2. Click '⚡ Recalculate CFR Rates'.</t>
  </si>
  <si>
    <t>Total Container CBM auto-fills with the exact sum of line item CBMs (0.637 m³).</t>
  </si>
  <si>
    <t>SAL-07</t>
  </si>
  <si>
    <t>Line Item Total CBM Editing &amp; Recalc</t>
  </si>
  <si>
    <t>1. Manually edit Line 1 CBM from 0.12 to 0.25.
2. Click Recalculate.</t>
  </si>
  <si>
    <t>Total Container CBM updates; Line 1 freight share increases proportionally.</t>
  </si>
  <si>
    <t>SAL-08</t>
  </si>
  <si>
    <t>Price RMB Placeholder Cleanliness</t>
  </si>
  <si>
    <t>1. Inspect newly added product with no Local Purchase.</t>
  </si>
  <si>
    <t>Unit Price(RMB) Incl. VAT shows blank with placeholder 0.00 (not stuck 0).</t>
  </si>
  <si>
    <t>SAL-09</t>
  </si>
  <si>
    <t>Profit % Margin Calculation (Col 10)</t>
  </si>
  <si>
    <t>1. Col 9 = 713.00 ¥, Profit % = 3%.</t>
  </si>
  <si>
    <t>Col 10 = 713.00 × 1.03 = 734.39 ¥.</t>
  </si>
  <si>
    <t>SAL-10</t>
  </si>
  <si>
    <t>FOB Price USD Conversion (Col 11)</t>
  </si>
  <si>
    <t>1. Col 10 = 734.39 ¥, USD Rate = 6.70.</t>
  </si>
  <si>
    <t>Col 11 = 734.39 / 6.70 = $109.610.</t>
  </si>
  <si>
    <t>SAL-11</t>
  </si>
  <si>
    <t>Freight per Unit Allocation (Col 12)</t>
  </si>
  <si>
    <t>1. Total Freight = $1,065, Cont. CBM = 0.637, Line CBM = 0.12, Qty = 10.</t>
  </si>
  <si>
    <t>Freight/Unit = (1065 / 0.637) × (0.12 / 10) = $20.063.</t>
  </si>
  <si>
    <t>SAL-12</t>
  </si>
  <si>
    <t>CFR Price Round-Up Formula (Col 13)</t>
  </si>
  <si>
    <t>1. FOB = $109.610, Freight = $20.063.
2. Sum = 129.673.</t>
  </si>
  <si>
    <t>CFR Price/Unit evaluates to ROUNDUP(129.673, 2) = $129.68.</t>
  </si>
  <si>
    <t>SAL-13</t>
  </si>
  <si>
    <t>Unit Price USD Override (USD Currency)</t>
  </si>
  <si>
    <t>1. Set Currency to 'USD ($)'.
2. Type negotiated price $135.00 in Col 6.</t>
  </si>
  <si>
    <t>Unit Price overrides to $135.00; Total Amount USD recalculates to $1,350.00.</t>
  </si>
  <si>
    <t>SAL-14</t>
  </si>
  <si>
    <t>Unit Price Read-Only in RMB Currency</t>
  </si>
  <si>
    <t>1. Set Currency to 'RMB (¥)'.
2. Try typing in Col 6.</t>
  </si>
  <si>
    <t>Col 6 is locked read-only displaying auto-calculated CFR price.</t>
  </si>
  <si>
    <t>SAL-15</t>
  </si>
  <si>
    <t>Total Supplier Amount Math (Col 16)</t>
  </si>
  <si>
    <t>1. Col 8 = 805.69 ¥, Qty = 10.</t>
  </si>
  <si>
    <t>Total Supplier Amount = 805.69 × 10 = ¥8,056.90 (matches Local Purchase bill!).</t>
  </si>
  <si>
    <t>SAL-16</t>
  </si>
  <si>
    <t>CI Modal 16-Column View Toggle</t>
  </si>
  <si>
    <t>1. View created order in '/sale/process'.
2. Toggle '[ 📊 Full Costing &amp; Supplier Engine ]'.</t>
  </si>
  <si>
    <t>Detail modal displays full 16-column grid with container KPI cards above invoice.</t>
  </si>
  <si>
    <t>SAL-17</t>
  </si>
  <si>
    <t>Standard Customer CI View (7 Columns)</t>
  </si>
  <si>
    <t>1. In modal, toggle '[ 📄 Standard Customer CI ]'.</t>
  </si>
  <si>
    <t>Hides internal factory purchase prices and margins; displays clean 7-column customer invoice!</t>
  </si>
  <si>
    <t>SAL-18</t>
  </si>
  <si>
    <t>Export Dual-Sheet Excel (CI + Packing List)</t>
  </si>
  <si>
    <t>1. Click 'Export Official Excel (CI + Packing)'.</t>
  </si>
  <si>
    <t>Downloads formatted workbook: Sheet 1 'CI' (16 columns), Sheet 2 'Packing List'.</t>
  </si>
  <si>
    <t>SAL-19</t>
  </si>
  <si>
    <t>Save &amp; Re-edit Sale Process Order</t>
  </si>
  <si>
    <t>1. Save order.
2. Click Edit on saved order.
3. Verify all 16 column inputs.</t>
  </si>
  <si>
    <t>All parameters, container freight, CBMs, and UOM values load back completely intact.</t>
  </si>
  <si>
    <t>SAL-20</t>
  </si>
  <si>
    <t>Invoice Valuation Summary Alignment</t>
  </si>
  <si>
    <t>1. Check summary card at bottom right.</t>
  </si>
  <si>
    <t>Shows Basic Line Value, Tax/VAT, and Total Quantity aligned with items table.</t>
  </si>
  <si>
    <t>Master Data</t>
  </si>
  <si>
    <t>MST-01</t>
  </si>
  <si>
    <t>Company List Master CRUD</t>
  </si>
  <si>
    <t>1. Open '/masters/company-list'.
2. View active legal entities.</t>
  </si>
  <si>
    <t>Yinglima LLP and Inhyma ERP listed with unique codes.</t>
  </si>
  <si>
    <t>MST-02</t>
  </si>
  <si>
    <t>HSN Code Rate Validation</t>
  </si>
  <si>
    <t>1. Open '/masters/hsn'.
2. Check HS 8422.30.00.</t>
  </si>
  <si>
    <t>GST is 18.00% and Refund VAT is 13.00%.</t>
  </si>
  <si>
    <t>MST-03</t>
  </si>
  <si>
    <t>Currency Exchange Rates Table</t>
  </si>
  <si>
    <t>1. Open '/masters/currencies'.
2. Verify USD to CNY parity.</t>
  </si>
  <si>
    <t>Exchange rates show current peg (e.g. 1 USD = 6.70 CNY).</t>
  </si>
  <si>
    <t>MST-04</t>
  </si>
  <si>
    <t>UOM Master Management</t>
  </si>
  <si>
    <t>1. Open '/masters/uom'.
2. Verify NOS, PCS, SET, ROLL.</t>
  </si>
  <si>
    <t>Standard trading UOMs available across Product Master and CI.</t>
  </si>
  <si>
    <t>MST-05</t>
  </si>
  <si>
    <t>Product Categories Hierarchy</t>
  </si>
  <si>
    <t>1. Open '/masters/product-categories'.
2. Add Category &amp; Sub-Category.</t>
  </si>
  <si>
    <t>Tree structure reflects in product creation form dropdowns.</t>
  </si>
  <si>
    <t>MST-06</t>
  </si>
  <si>
    <t>ERP Dynamic Branding Resolution</t>
  </si>
  <si>
    <t>1. Check top-left company branding logo and title.</t>
  </si>
  <si>
    <t>Dynamically displays active entity from ERP Settings without hardcoding.</t>
  </si>
  <si>
    <t>User Management</t>
  </si>
  <si>
    <t>USR-01</t>
  </si>
  <si>
    <t>Create New System User</t>
  </si>
  <si>
    <t>1. Open '/users'.
2. Click '+ Add User'.
3. Assign Sales role.</t>
  </si>
  <si>
    <t>User account created; appears in active users table.</t>
  </si>
  <si>
    <t>USR-02</t>
  </si>
  <si>
    <t>Role Permission Enforcement</t>
  </si>
  <si>
    <t>1. Log in as Viewer role.
2. Attempt to delete a product or order.</t>
  </si>
  <si>
    <t>Delete actions are hidden or return 403 Forbidden.</t>
  </si>
  <si>
    <t>result</t>
  </si>
  <si>
    <t>yes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</si>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</sst>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color rgb="FF1E3A8A"/>
      <name val="Calibri"/>
    </font>
    <font>
      <i/>
      <sz val="11"/>
      <color rgb="FF475569"/>
      <name val="Calibri"/>
    </font>
    <font>
      <b/>
      <sz val="9"/>
      <color rgb="FF1E3A8A"/>
      <name val="Calibri"/>
    </font>
    <font>
      <b/>
      <sz val="18"/>
      <color rgb="FF1E3A8A"/>
      <name val="Calibri"/>
    </font>
    <font>
      <b/>
      <sz val="9"/>
      <color rgb="FF166534"/>
      <name val="Calibri"/>
    </font>
    <font>
      <b/>
      <sz val="18"/>
      <color rgb="FF166534"/>
      <name val="Calibri"/>
    </font>
    <font>
      <b/>
      <sz val="9"/>
      <color rgb="FF991B1B"/>
      <name val="Calibri"/>
    </font>
    <font>
      <b/>
      <sz val="18"/>
      <color rgb="FF991B1B"/>
      <name val="Calibri"/>
    </font>
    <font>
      <b/>
      <sz val="9"/>
      <color rgb="FF854D0E"/>
      <name val="Calibri"/>
    </font>
    <font>
      <b/>
      <sz val="18"/>
      <color rgb="FF854D0E"/>
      <name val="Calibri"/>
    </font>
    <font>
      <b/>
      <sz val="11"/>
      <color rgb="FFFFFFFF"/>
      <name val="Calibri"/>
    </font>
    <font>
      <sz val="10"/>
      <color rgb="FF1E293B"/>
      <name val="Calibri"/>
    </font>
    <font>
      <b/>
      <sz val="10"/>
      <color rgb="FF1E3A8A"/>
      <name val="Consolas"/>
    </font>
    <font>
      <b/>
      <sz val="10"/>
      <color rgb="FF0F172A"/>
      <name val="Calibri"/>
    </font>
    <font>
      <sz val="10"/>
      <color rgb="FF1E293B"/>
      <name val="Calibri"/>
      <family val="2"/>
    </font>
  </fonts>
  <fills count="9">
    <fill>
      <patternFill patternType="none"/>
    </fill>
    <fill>
      <patternFill patternType="gray125"/>
    </fill>
    <fill>
      <patternFill patternType="solid">
        <fgColor rgb="FFDBEAFE"/>
        <bgColor rgb="FFDBEAFE"/>
      </patternFill>
    </fill>
    <fill>
      <patternFill patternType="solid">
        <fgColor rgb="FFDCFCE7"/>
        <bgColor rgb="FFDCFCE7"/>
      </patternFill>
    </fill>
    <fill>
      <patternFill patternType="solid">
        <fgColor rgb="FFFEE2E2"/>
        <bgColor rgb="FFFEE2E2"/>
      </patternFill>
    </fill>
    <fill>
      <patternFill patternType="solid">
        <fgColor rgb="FFFEF9C3"/>
        <bgColor rgb="FFFEF9C3"/>
      </patternFill>
    </fill>
    <fill>
      <patternFill patternType="solid">
        <fgColor rgb="FF1E3A8A"/>
        <bgColor rgb="FF1E3A8A"/>
      </patternFill>
    </fill>
    <fill>
      <patternFill patternType="solid">
        <fgColor rgb="FFF8FAFC"/>
        <bgColor rgb="FFF8FAFC"/>
      </patternFill>
    </fill>
    <fill>
      <patternFill patternType="solid">
        <fgColor rgb="FFF1F5F9"/>
        <bgColor rgb="FFF1F5F9"/>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2" fillId="7"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13" fillId="7" borderId="1" xfId="0" applyFont="1" applyFill="1" applyBorder="1" applyAlignment="1">
      <alignment horizontal="center" vertical="center"/>
    </xf>
    <xf numFmtId="0" fontId="14" fillId="8" borderId="1" xfId="0" applyFont="1" applyFill="1" applyBorder="1" applyAlignment="1">
      <alignment horizontal="center" vertical="center"/>
    </xf>
    <xf numFmtId="0" fontId="13" fillId="0" borderId="1" xfId="0" applyFont="1" applyBorder="1" applyAlignment="1">
      <alignment horizontal="center" vertical="center"/>
    </xf>
    <xf numFmtId="0" fontId="11" fillId="6" borderId="2"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5"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workbookViewId="0"/>
  </sheetViews>
  <sheetFormatPr defaultRowHeight="14.4" x14ac:dyDescent="0.3"/>
  <cols>
    <col min="1" max="1" width="5" customWidth="1"/>
    <col min="2" max="2" width="28" customWidth="1"/>
    <col min="3" max="3" width="20" customWidth="1"/>
    <col min="4" max="4" width="14" customWidth="1"/>
    <col min="5" max="7" width="12" customWidth="1"/>
    <col min="8" max="9" width="14" customWidth="1"/>
  </cols>
  <sheetData>
    <row r="1" spans="1:9" ht="21" x14ac:dyDescent="0.4">
      <c r="A1" s="1" t="s">
        <v>0</v>
      </c>
    </row>
    <row r="2" spans="1:9" x14ac:dyDescent="0.3">
      <c r="A2" s="2" t="s">
        <v>1</v>
      </c>
    </row>
    <row r="4" spans="1:9" ht="23.4" x14ac:dyDescent="0.3">
      <c r="B4" s="3" t="s">
        <v>2</v>
      </c>
      <c r="C4" s="4">
        <f>COUNTA('Master Checklist'!C4:C120)</f>
        <v>111</v>
      </c>
      <c r="D4" s="5" t="s">
        <v>3</v>
      </c>
      <c r="E4" s="6">
        <f>COUNTIF('Master Checklist'!G4:G120, "PASS")</f>
        <v>0</v>
      </c>
      <c r="F4" s="7" t="s">
        <v>4</v>
      </c>
      <c r="G4" s="8">
        <f>COUNTIF('Master Checklist'!G4:G120, "FAIL")</f>
        <v>0</v>
      </c>
      <c r="H4" s="9" t="s">
        <v>5</v>
      </c>
      <c r="I4" s="10">
        <f>COUNTIF('Master Checklist'!G4:G120, "PENDING")</f>
        <v>111</v>
      </c>
    </row>
    <row r="7" spans="1:9" ht="25.95" customHeight="1" x14ac:dyDescent="0.3">
      <c r="A7" s="11" t="s">
        <v>6</v>
      </c>
      <c r="B7" s="11" t="s">
        <v>7</v>
      </c>
      <c r="C7" s="11" t="s">
        <v>8</v>
      </c>
      <c r="D7" s="11" t="s">
        <v>9</v>
      </c>
      <c r="E7" s="11" t="s">
        <v>3</v>
      </c>
      <c r="F7" s="11" t="s">
        <v>4</v>
      </c>
      <c r="G7" s="11" t="s">
        <v>5</v>
      </c>
      <c r="H7" s="11" t="s">
        <v>10</v>
      </c>
    </row>
    <row r="8" spans="1:9" ht="19.95" customHeight="1" x14ac:dyDescent="0.3">
      <c r="A8" s="12">
        <v>1</v>
      </c>
      <c r="B8" s="13" t="s">
        <v>11</v>
      </c>
      <c r="C8" s="13" t="s">
        <v>12</v>
      </c>
      <c r="D8" s="12">
        <f>COUNTIF('Master Checklist'!C4:C120, "SUP-*")</f>
        <v>12</v>
      </c>
      <c r="E8" s="12">
        <f>COUNTIFS('Master Checklist'!C4:C120, "SUP-*", 'Master Checklist'!G4:G120, "PASS")</f>
        <v>0</v>
      </c>
      <c r="F8" s="12">
        <f>COUNTIFS('Master Checklist'!C4:C120, "SUP-*", 'Master Checklist'!G4:G120, "FAIL")</f>
        <v>0</v>
      </c>
      <c r="G8" s="12">
        <f>COUNTIFS('Master Checklist'!C4:C120, "SUP-*", 'Master Checklist'!G4:G120, "PENDING")</f>
        <v>12</v>
      </c>
      <c r="H8" s="12">
        <f t="shared" ref="H8:H17" si="0">IF(D8&gt;0, ROUND((E8/D8)*100, 1), 0)</f>
        <v>0</v>
      </c>
    </row>
    <row r="9" spans="1:9" ht="19.95" customHeight="1" x14ac:dyDescent="0.3">
      <c r="A9" s="14">
        <v>2</v>
      </c>
      <c r="B9" s="15" t="s">
        <v>13</v>
      </c>
      <c r="C9" s="15" t="s">
        <v>14</v>
      </c>
      <c r="D9" s="14">
        <f>COUNTIF('Master Checklist'!C4:C120, "BUY-*")</f>
        <v>8</v>
      </c>
      <c r="E9" s="14">
        <f>COUNTIFS('Master Checklist'!C4:C120, "BUY-*", 'Master Checklist'!G4:G120, "PASS")</f>
        <v>0</v>
      </c>
      <c r="F9" s="14">
        <f>COUNTIFS('Master Checklist'!C4:C120, "BUY-*", 'Master Checklist'!G4:G120, "FAIL")</f>
        <v>0</v>
      </c>
      <c r="G9" s="14">
        <f>COUNTIFS('Master Checklist'!C4:C120, "BUY-*", 'Master Checklist'!G4:G120, "PENDING")</f>
        <v>8</v>
      </c>
      <c r="H9" s="14">
        <f t="shared" si="0"/>
        <v>0</v>
      </c>
    </row>
    <row r="10" spans="1:9" ht="19.95" customHeight="1" x14ac:dyDescent="0.3">
      <c r="A10" s="12">
        <v>3</v>
      </c>
      <c r="B10" s="13" t="s">
        <v>15</v>
      </c>
      <c r="C10" s="13" t="s">
        <v>16</v>
      </c>
      <c r="D10" s="12">
        <f>COUNTIF('Master Checklist'!C4:C120, "PRD-*")</f>
        <v>15</v>
      </c>
      <c r="E10" s="12">
        <f>COUNTIFS('Master Checklist'!C4:C120, "PRD-*", 'Master Checklist'!G4:G120, "PASS")</f>
        <v>0</v>
      </c>
      <c r="F10" s="12">
        <f>COUNTIFS('Master Checklist'!C4:C120, "PRD-*", 'Master Checklist'!G4:G120, "FAIL")</f>
        <v>0</v>
      </c>
      <c r="G10" s="12">
        <f>COUNTIFS('Master Checklist'!C4:C120, "PRD-*", 'Master Checklist'!G4:G120, "PENDING")</f>
        <v>15</v>
      </c>
      <c r="H10" s="12">
        <f t="shared" si="0"/>
        <v>0</v>
      </c>
    </row>
    <row r="11" spans="1:9" ht="19.95" customHeight="1" x14ac:dyDescent="0.3">
      <c r="A11" s="14">
        <v>4</v>
      </c>
      <c r="B11" s="15" t="s">
        <v>17</v>
      </c>
      <c r="C11" s="15" t="s">
        <v>18</v>
      </c>
      <c r="D11" s="14">
        <f>COUNTIF('Master Checklist'!C4:C120, "PRC-*")</f>
        <v>10</v>
      </c>
      <c r="E11" s="14">
        <f>COUNTIFS('Master Checklist'!C4:C120, "PRC-*", 'Master Checklist'!G4:G120, "PASS")</f>
        <v>0</v>
      </c>
      <c r="F11" s="14">
        <f>COUNTIFS('Master Checklist'!C4:C120, "PRC-*", 'Master Checklist'!G4:G120, "FAIL")</f>
        <v>0</v>
      </c>
      <c r="G11" s="14">
        <f>COUNTIFS('Master Checklist'!C4:C120, "PRC-*", 'Master Checklist'!G4:G120, "PENDING")</f>
        <v>10</v>
      </c>
      <c r="H11" s="14">
        <f t="shared" si="0"/>
        <v>0</v>
      </c>
    </row>
    <row r="12" spans="1:9" ht="19.95" customHeight="1" x14ac:dyDescent="0.3">
      <c r="A12" s="12">
        <v>5</v>
      </c>
      <c r="B12" s="13" t="s">
        <v>19</v>
      </c>
      <c r="C12" s="13" t="s">
        <v>20</v>
      </c>
      <c r="D12" s="12">
        <f>COUNTIF('Master Checklist'!C4:C120, "INQ-*")</f>
        <v>10</v>
      </c>
      <c r="E12" s="12">
        <f>COUNTIFS('Master Checklist'!C4:C120, "INQ-*", 'Master Checklist'!G4:G120, "PASS")</f>
        <v>0</v>
      </c>
      <c r="F12" s="12">
        <f>COUNTIFS('Master Checklist'!C4:C120, "INQ-*", 'Master Checklist'!G4:G120, "FAIL")</f>
        <v>0</v>
      </c>
      <c r="G12" s="12">
        <f>COUNTIFS('Master Checklist'!C4:C120, "INQ-*", 'Master Checklist'!G4:G120, "PENDING")</f>
        <v>10</v>
      </c>
      <c r="H12" s="12">
        <f t="shared" si="0"/>
        <v>0</v>
      </c>
    </row>
    <row r="13" spans="1:9" ht="19.95" customHeight="1" x14ac:dyDescent="0.3">
      <c r="A13" s="14">
        <v>6</v>
      </c>
      <c r="B13" s="15" t="s">
        <v>21</v>
      </c>
      <c r="C13" s="15" t="s">
        <v>22</v>
      </c>
      <c r="D13" s="14">
        <f>COUNTIF('Master Checklist'!C4:C120, "LP-*")</f>
        <v>16</v>
      </c>
      <c r="E13" s="14">
        <f>COUNTIFS('Master Checklist'!C4:C120, "LP-*", 'Master Checklist'!G4:G120, "PASS")</f>
        <v>0</v>
      </c>
      <c r="F13" s="14">
        <f>COUNTIFS('Master Checklist'!C4:C120, "LP-*", 'Master Checklist'!G4:G120, "FAIL")</f>
        <v>0</v>
      </c>
      <c r="G13" s="14">
        <f>COUNTIFS('Master Checklist'!C4:C120, "LP-*", 'Master Checklist'!G4:G120, "PENDING")</f>
        <v>16</v>
      </c>
      <c r="H13" s="14">
        <f t="shared" si="0"/>
        <v>0</v>
      </c>
    </row>
    <row r="14" spans="1:9" ht="19.95" customHeight="1" x14ac:dyDescent="0.3">
      <c r="A14" s="12">
        <v>7</v>
      </c>
      <c r="B14" s="13" t="s">
        <v>23</v>
      </c>
      <c r="C14" s="13" t="s">
        <v>24</v>
      </c>
      <c r="D14" s="12">
        <f>COUNTIF('Master Checklist'!C4:C120, "PLN-*")</f>
        <v>12</v>
      </c>
      <c r="E14" s="12">
        <f>COUNTIFS('Master Checklist'!C4:C120, "PLN-*", 'Master Checklist'!G4:G120, "PASS")</f>
        <v>0</v>
      </c>
      <c r="F14" s="12">
        <f>COUNTIFS('Master Checklist'!C4:C120, "PLN-*", 'Master Checklist'!G4:G120, "FAIL")</f>
        <v>0</v>
      </c>
      <c r="G14" s="12">
        <f>COUNTIFS('Master Checklist'!C4:C120, "PLN-*", 'Master Checklist'!G4:G120, "PENDING")</f>
        <v>12</v>
      </c>
      <c r="H14" s="12">
        <f t="shared" si="0"/>
        <v>0</v>
      </c>
    </row>
    <row r="15" spans="1:9" ht="19.95" customHeight="1" x14ac:dyDescent="0.3">
      <c r="A15" s="14">
        <v>8</v>
      </c>
      <c r="B15" s="15" t="s">
        <v>25</v>
      </c>
      <c r="C15" s="15" t="s">
        <v>26</v>
      </c>
      <c r="D15" s="14">
        <f>COUNTIF('Master Checklist'!C4:C120, "SAL-*")</f>
        <v>20</v>
      </c>
      <c r="E15" s="14">
        <f>COUNTIFS('Master Checklist'!C4:C120, "SAL-*", 'Master Checklist'!G4:G120, "PASS")</f>
        <v>0</v>
      </c>
      <c r="F15" s="14">
        <f>COUNTIFS('Master Checklist'!C4:C120, "SAL-*", 'Master Checklist'!G4:G120, "FAIL")</f>
        <v>0</v>
      </c>
      <c r="G15" s="14">
        <f>COUNTIFS('Master Checklist'!C4:C120, "SAL-*", 'Master Checklist'!G4:G120, "PENDING")</f>
        <v>20</v>
      </c>
      <c r="H15" s="14">
        <f t="shared" si="0"/>
        <v>0</v>
      </c>
    </row>
    <row r="16" spans="1:9" ht="19.95" customHeight="1" x14ac:dyDescent="0.3">
      <c r="A16" s="12">
        <v>9</v>
      </c>
      <c r="B16" s="13" t="s">
        <v>27</v>
      </c>
      <c r="C16" s="13" t="s">
        <v>28</v>
      </c>
      <c r="D16" s="12">
        <f>COUNTIF('Master Checklist'!C4:C120, "MST-*")</f>
        <v>6</v>
      </c>
      <c r="E16" s="12">
        <f>COUNTIFS('Master Checklist'!C4:C120, "MST-*", 'Master Checklist'!G4:G120, "PASS")</f>
        <v>0</v>
      </c>
      <c r="F16" s="12">
        <f>COUNTIFS('Master Checklist'!C4:C120, "MST-*", 'Master Checklist'!G4:G120, "FAIL")</f>
        <v>0</v>
      </c>
      <c r="G16" s="12">
        <f>COUNTIFS('Master Checklist'!C4:C120, "MST-*", 'Master Checklist'!G4:G120, "PENDING")</f>
        <v>6</v>
      </c>
      <c r="H16" s="12">
        <f t="shared" si="0"/>
        <v>0</v>
      </c>
    </row>
    <row r="17" spans="1:8" ht="19.95" customHeight="1" x14ac:dyDescent="0.3">
      <c r="A17" s="14">
        <v>10</v>
      </c>
      <c r="B17" s="15" t="s">
        <v>29</v>
      </c>
      <c r="C17" s="15" t="s">
        <v>30</v>
      </c>
      <c r="D17" s="14">
        <f>COUNTIF('Master Checklist'!C4:C120, "USR-*")</f>
        <v>2</v>
      </c>
      <c r="E17" s="14">
        <f>COUNTIFS('Master Checklist'!C4:C120, "USR-*", 'Master Checklist'!G4:G120, "PASS")</f>
        <v>0</v>
      </c>
      <c r="F17" s="14">
        <f>COUNTIFS('Master Checklist'!C4:C120, "USR-*", 'Master Checklist'!G4:G120, "FAIL")</f>
        <v>0</v>
      </c>
      <c r="G17" s="14">
        <f>COUNTIFS('Master Checklist'!C4:C120, "USR-*", 'Master Checklist'!G4:G120, "PENDING")</f>
        <v>2</v>
      </c>
      <c r="H17" s="14">
        <f t="shared" si="0"/>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4"/>
  <sheetViews>
    <sheetView tabSelected="1" topLeftCell="A4" workbookViewId="0">
      <selection activeCell="H9" sqref="H9"/>
    </sheetView>
  </sheetViews>
  <sheetFormatPr defaultRowHeight="14.4" x14ac:dyDescent="0.3"/>
  <cols>
    <col min="1" max="1" width="6" customWidth="1"/>
    <col min="2" max="2" width="18" customWidth="1"/>
    <col min="3" max="3" width="12" customWidth="1"/>
    <col min="4" max="4" width="34" customWidth="1"/>
    <col min="5" max="6" width="48" customWidth="1"/>
    <col min="7" max="7" width="14" customWidth="1"/>
    <col min="8" max="8" width="32" customWidth="1"/>
    <col min="9" max="10" width="14" customWidth="1"/>
  </cols>
  <sheetData>
    <row r="1" spans="1:11" ht="21" x14ac:dyDescent="0.4">
      <c r="A1" s="1" t="s">
        <v>31</v>
      </c>
    </row>
    <row r="2" spans="1:11" x14ac:dyDescent="0.3">
      <c r="A2" s="2" t="s">
        <v>32</v>
      </c>
    </row>
    <row r="3" spans="1:11" ht="28.05" customHeight="1" x14ac:dyDescent="0.3">
      <c r="A3" s="11" t="s">
        <v>6</v>
      </c>
      <c r="B3" s="11" t="s">
        <v>33</v>
      </c>
      <c r="C3" s="11" t="s">
        <v>34</v>
      </c>
      <c r="D3" s="11" t="s">
        <v>35</v>
      </c>
      <c r="E3" s="11" t="s">
        <v>36</v>
      </c>
      <c r="F3" s="11" t="s">
        <v>37</v>
      </c>
      <c r="G3" s="11" t="s">
        <v>38</v>
      </c>
      <c r="H3" s="11" t="s">
        <v>39</v>
      </c>
      <c r="I3" s="11" t="s">
        <v>40</v>
      </c>
      <c r="J3" s="11" t="s">
        <v>41</v>
      </c>
      <c r="K3" s="19" t="s">
        <v>498</v>
      </c>
    </row>
    <row r="4" spans="1:11" ht="72" customHeight="1" x14ac:dyDescent="0.3">
      <c r="A4" s="12">
        <v>1</v>
      </c>
      <c r="B4" s="13" t="s">
        <v>42</v>
      </c>
      <c r="C4" s="16" t="s">
        <v>43</v>
      </c>
      <c r="D4" s="13" t="s">
        <v>44</v>
      </c>
      <c r="E4" s="13" t="s">
        <v>45</v>
      </c>
      <c r="F4" s="13" t="s">
        <v>46</v>
      </c>
      <c r="G4" s="17" t="s">
        <v>47</v>
      </c>
      <c r="H4" s="13" t="s">
        <v>499</v>
      </c>
      <c r="I4" s="12" t="s">
        <v>48</v>
      </c>
      <c r="J4" s="12"/>
      <c r="K4" t="s">
        <v>499</v>
      </c>
    </row>
    <row r="5" spans="1:11" ht="54" customHeight="1" x14ac:dyDescent="0.3">
      <c r="A5" s="14">
        <v>2</v>
      </c>
      <c r="B5" s="15" t="s">
        <v>42</v>
      </c>
      <c r="C5" s="18" t="s">
        <v>49</v>
      </c>
      <c r="D5" s="15" t="s">
        <v>50</v>
      </c>
      <c r="E5" s="15" t="s">
        <v>51</v>
      </c>
      <c r="F5" s="15" t="s">
        <v>52</v>
      </c>
      <c r="G5" s="17" t="s">
        <v>47</v>
      </c>
      <c r="H5" s="15" t="s">
        <v>499</v>
      </c>
      <c r="I5" s="14" t="s">
        <v>48</v>
      </c>
      <c r="J5" s="14"/>
    </row>
    <row r="6" spans="1:11" ht="24" customHeight="1" x14ac:dyDescent="0.3">
      <c r="A6" s="12">
        <v>3</v>
      </c>
      <c r="B6" s="13" t="s">
        <v>42</v>
      </c>
      <c r="C6" s="16" t="s">
        <v>53</v>
      </c>
      <c r="D6" s="13" t="s">
        <v>54</v>
      </c>
      <c r="E6" s="13" t="s">
        <v>55</v>
      </c>
      <c r="F6" s="13" t="s">
        <v>56</v>
      </c>
      <c r="G6" s="17" t="s">
        <v>47</v>
      </c>
      <c r="H6" s="13" t="s">
        <v>499</v>
      </c>
      <c r="I6" s="12" t="s">
        <v>48</v>
      </c>
      <c r="J6" s="12"/>
    </row>
    <row r="7" spans="1:11" ht="54" customHeight="1" x14ac:dyDescent="0.3">
      <c r="A7" s="14">
        <v>4</v>
      </c>
      <c r="B7" s="15" t="s">
        <v>42</v>
      </c>
      <c r="C7" s="18" t="s">
        <v>57</v>
      </c>
      <c r="D7" s="15" t="s">
        <v>58</v>
      </c>
      <c r="E7" s="15" t="s">
        <v>59</v>
      </c>
      <c r="F7" s="15" t="s">
        <v>60</v>
      </c>
      <c r="G7" s="17" t="s">
        <v>47</v>
      </c>
      <c r="H7" s="15" t="s">
        <v>499</v>
      </c>
      <c r="I7" s="14" t="s">
        <v>48</v>
      </c>
      <c r="J7" s="14"/>
    </row>
    <row r="8" spans="1:11" ht="54" customHeight="1" x14ac:dyDescent="0.3">
      <c r="A8" s="12">
        <v>5</v>
      </c>
      <c r="B8" s="13" t="s">
        <v>42</v>
      </c>
      <c r="C8" s="16" t="s">
        <v>61</v>
      </c>
      <c r="D8" s="13" t="s">
        <v>62</v>
      </c>
      <c r="E8" s="13" t="s">
        <v>63</v>
      </c>
      <c r="F8" s="13" t="s">
        <v>64</v>
      </c>
      <c r="G8" s="17" t="s">
        <v>47</v>
      </c>
      <c r="H8" s="20" t="s">
        <v>499</v>
      </c>
      <c r="I8" s="12" t="s">
        <v>48</v>
      </c>
      <c r="J8" s="12"/>
    </row>
    <row r="9" spans="1:11" ht="54" customHeight="1" x14ac:dyDescent="0.3">
      <c r="A9" s="14">
        <v>6</v>
      </c>
      <c r="B9" s="15" t="s">
        <v>42</v>
      </c>
      <c r="C9" s="18" t="s">
        <v>65</v>
      </c>
      <c r="D9" s="15" t="s">
        <v>66</v>
      </c>
      <c r="E9" s="15" t="s">
        <v>67</v>
      </c>
      <c r="F9" s="15" t="s">
        <v>68</v>
      </c>
      <c r="G9" s="17" t="s">
        <v>47</v>
      </c>
      <c r="H9" s="21" t="s">
        <v>499</v>
      </c>
      <c r="I9" s="14" t="s">
        <v>48</v>
      </c>
      <c r="J9" s="14"/>
    </row>
    <row r="10" spans="1:11" ht="36" customHeight="1" x14ac:dyDescent="0.3">
      <c r="A10" s="12">
        <v>7</v>
      </c>
      <c r="B10" s="13" t="s">
        <v>42</v>
      </c>
      <c r="C10" s="16" t="s">
        <v>69</v>
      </c>
      <c r="D10" s="13" t="s">
        <v>70</v>
      </c>
      <c r="E10" s="13" t="s">
        <v>71</v>
      </c>
      <c r="F10" s="13" t="s">
        <v>72</v>
      </c>
      <c r="G10" s="17" t="s">
        <v>47</v>
      </c>
      <c r="H10" s="20" t="s">
        <v>499</v>
      </c>
      <c r="I10" s="12" t="s">
        <v>48</v>
      </c>
      <c r="J10" s="12"/>
    </row>
    <row r="11" spans="1:11" ht="54" customHeight="1" x14ac:dyDescent="0.3">
      <c r="A11" s="14">
        <v>8</v>
      </c>
      <c r="B11" s="15" t="s">
        <v>42</v>
      </c>
      <c r="C11" s="18" t="s">
        <v>73</v>
      </c>
      <c r="D11" s="15" t="s">
        <v>74</v>
      </c>
      <c r="E11" s="15" t="s">
        <v>75</v>
      </c>
      <c r="F11" s="15" t="s">
        <v>76</v>
      </c>
      <c r="G11" s="17" t="s">
        <v>47</v>
      </c>
      <c r="H11" s="15"/>
      <c r="I11" s="14" t="s">
        <v>48</v>
      </c>
      <c r="J11" s="14"/>
    </row>
    <row r="12" spans="1:11" ht="36" customHeight="1" x14ac:dyDescent="0.3">
      <c r="A12" s="12">
        <v>9</v>
      </c>
      <c r="B12" s="13" t="s">
        <v>42</v>
      </c>
      <c r="C12" s="16" t="s">
        <v>77</v>
      </c>
      <c r="D12" s="13" t="s">
        <v>78</v>
      </c>
      <c r="E12" s="13" t="s">
        <v>79</v>
      </c>
      <c r="F12" s="13" t="s">
        <v>80</v>
      </c>
      <c r="G12" s="17" t="s">
        <v>47</v>
      </c>
      <c r="H12" s="13"/>
      <c r="I12" s="12" t="s">
        <v>48</v>
      </c>
      <c r="J12" s="12"/>
    </row>
    <row r="13" spans="1:11" ht="24" customHeight="1" x14ac:dyDescent="0.3">
      <c r="A13" s="14">
        <v>10</v>
      </c>
      <c r="B13" s="15" t="s">
        <v>42</v>
      </c>
      <c r="C13" s="18" t="s">
        <v>81</v>
      </c>
      <c r="D13" s="15" t="s">
        <v>82</v>
      </c>
      <c r="E13" s="15" t="s">
        <v>83</v>
      </c>
      <c r="F13" s="15" t="s">
        <v>84</v>
      </c>
      <c r="G13" s="17" t="s">
        <v>47</v>
      </c>
      <c r="H13" s="21" t="s">
        <v>499</v>
      </c>
      <c r="I13" s="14" t="s">
        <v>48</v>
      </c>
      <c r="J13" s="14"/>
    </row>
    <row r="14" spans="1:11" ht="36" customHeight="1" x14ac:dyDescent="0.3">
      <c r="A14" s="12">
        <v>11</v>
      </c>
      <c r="B14" s="13" t="s">
        <v>42</v>
      </c>
      <c r="C14" s="16" t="s">
        <v>85</v>
      </c>
      <c r="D14" s="13" t="s">
        <v>86</v>
      </c>
      <c r="E14" s="13" t="s">
        <v>87</v>
      </c>
      <c r="F14" s="13" t="s">
        <v>88</v>
      </c>
      <c r="G14" s="17" t="s">
        <v>47</v>
      </c>
      <c r="H14" s="13"/>
      <c r="I14" s="12" t="s">
        <v>48</v>
      </c>
      <c r="J14" s="12"/>
    </row>
    <row r="15" spans="1:11" ht="24" customHeight="1" x14ac:dyDescent="0.3">
      <c r="A15" s="14">
        <v>12</v>
      </c>
      <c r="B15" s="15" t="s">
        <v>42</v>
      </c>
      <c r="C15" s="18" t="s">
        <v>89</v>
      </c>
      <c r="D15" s="15" t="s">
        <v>90</v>
      </c>
      <c r="E15" s="15" t="s">
        <v>91</v>
      </c>
      <c r="F15" s="15" t="s">
        <v>92</v>
      </c>
      <c r="G15" s="17" t="s">
        <v>47</v>
      </c>
      <c r="H15" s="21" t="s">
        <v>500</v>
      </c>
      <c r="I15" s="14" t="s">
        <v>48</v>
      </c>
      <c r="J15" s="14"/>
    </row>
    <row r="16" spans="1:11" ht="72" customHeight="1" x14ac:dyDescent="0.3">
      <c r="A16" s="12">
        <v>13</v>
      </c>
      <c r="B16" s="13" t="s">
        <v>93</v>
      </c>
      <c r="C16" s="16" t="s">
        <v>94</v>
      </c>
      <c r="D16" s="13" t="s">
        <v>95</v>
      </c>
      <c r="E16" s="13" t="s">
        <v>96</v>
      </c>
      <c r="F16" s="13" t="s">
        <v>97</v>
      </c>
      <c r="G16" s="17" t="s">
        <v>47</v>
      </c>
      <c r="H16" s="13"/>
      <c r="I16" s="12" t="s">
        <v>48</v>
      </c>
      <c r="J16" s="12"/>
    </row>
    <row r="17" spans="1:10" ht="24" customHeight="1" x14ac:dyDescent="0.3">
      <c r="A17" s="14">
        <v>14</v>
      </c>
      <c r="B17" s="15" t="s">
        <v>93</v>
      </c>
      <c r="C17" s="18" t="s">
        <v>98</v>
      </c>
      <c r="D17" s="15" t="s">
        <v>99</v>
      </c>
      <c r="E17" s="15" t="s">
        <v>100</v>
      </c>
      <c r="F17" s="15" t="s">
        <v>101</v>
      </c>
      <c r="G17" s="17" t="s">
        <v>47</v>
      </c>
      <c r="H17" s="15"/>
      <c r="I17" s="14" t="s">
        <v>48</v>
      </c>
      <c r="J17" s="14"/>
    </row>
    <row r="18" spans="1:10" ht="36" customHeight="1" x14ac:dyDescent="0.3">
      <c r="A18" s="12">
        <v>15</v>
      </c>
      <c r="B18" s="13" t="s">
        <v>93</v>
      </c>
      <c r="C18" s="16" t="s">
        <v>102</v>
      </c>
      <c r="D18" s="13" t="s">
        <v>103</v>
      </c>
      <c r="E18" s="13" t="s">
        <v>104</v>
      </c>
      <c r="F18" s="13" t="s">
        <v>105</v>
      </c>
      <c r="G18" s="17" t="s">
        <v>47</v>
      </c>
      <c r="H18" s="13"/>
      <c r="I18" s="12" t="s">
        <v>48</v>
      </c>
      <c r="J18" s="12"/>
    </row>
    <row r="19" spans="1:10" ht="36" customHeight="1" x14ac:dyDescent="0.3">
      <c r="A19" s="14">
        <v>16</v>
      </c>
      <c r="B19" s="15" t="s">
        <v>93</v>
      </c>
      <c r="C19" s="18" t="s">
        <v>106</v>
      </c>
      <c r="D19" s="15" t="s">
        <v>107</v>
      </c>
      <c r="E19" s="15" t="s">
        <v>108</v>
      </c>
      <c r="F19" s="15" t="s">
        <v>109</v>
      </c>
      <c r="G19" s="17" t="s">
        <v>47</v>
      </c>
      <c r="H19" s="15"/>
      <c r="I19" s="14" t="s">
        <v>48</v>
      </c>
      <c r="J19" s="14"/>
    </row>
    <row r="20" spans="1:10" ht="24" customHeight="1" x14ac:dyDescent="0.3">
      <c r="A20" s="12">
        <v>17</v>
      </c>
      <c r="B20" s="13" t="s">
        <v>93</v>
      </c>
      <c r="C20" s="16" t="s">
        <v>110</v>
      </c>
      <c r="D20" s="13" t="s">
        <v>111</v>
      </c>
      <c r="E20" s="13" t="s">
        <v>112</v>
      </c>
      <c r="F20" s="13" t="s">
        <v>113</v>
      </c>
      <c r="G20" s="17" t="s">
        <v>47</v>
      </c>
      <c r="H20" s="13"/>
      <c r="I20" s="12" t="s">
        <v>48</v>
      </c>
      <c r="J20" s="12"/>
    </row>
    <row r="21" spans="1:10" ht="24" customHeight="1" x14ac:dyDescent="0.3">
      <c r="A21" s="14">
        <v>18</v>
      </c>
      <c r="B21" s="15" t="s">
        <v>93</v>
      </c>
      <c r="C21" s="18" t="s">
        <v>114</v>
      </c>
      <c r="D21" s="15" t="s">
        <v>115</v>
      </c>
      <c r="E21" s="15" t="s">
        <v>116</v>
      </c>
      <c r="F21" s="15" t="s">
        <v>117</v>
      </c>
      <c r="G21" s="17" t="s">
        <v>47</v>
      </c>
      <c r="H21" s="15"/>
      <c r="I21" s="14" t="s">
        <v>48</v>
      </c>
      <c r="J21" s="14"/>
    </row>
    <row r="22" spans="1:10" ht="36" customHeight="1" x14ac:dyDescent="0.3">
      <c r="A22" s="12">
        <v>19</v>
      </c>
      <c r="B22" s="13" t="s">
        <v>93</v>
      </c>
      <c r="C22" s="16" t="s">
        <v>118</v>
      </c>
      <c r="D22" s="13" t="s">
        <v>119</v>
      </c>
      <c r="E22" s="13" t="s">
        <v>120</v>
      </c>
      <c r="F22" s="13" t="s">
        <v>121</v>
      </c>
      <c r="G22" s="17" t="s">
        <v>47</v>
      </c>
      <c r="H22" s="13"/>
      <c r="I22" s="12" t="s">
        <v>48</v>
      </c>
      <c r="J22" s="12"/>
    </row>
    <row r="23" spans="1:10" ht="36" customHeight="1" x14ac:dyDescent="0.3">
      <c r="A23" s="14">
        <v>20</v>
      </c>
      <c r="B23" s="15" t="s">
        <v>93</v>
      </c>
      <c r="C23" s="18" t="s">
        <v>122</v>
      </c>
      <c r="D23" s="15" t="s">
        <v>123</v>
      </c>
      <c r="E23" s="15" t="s">
        <v>124</v>
      </c>
      <c r="F23" s="15" t="s">
        <v>125</v>
      </c>
      <c r="G23" s="17" t="s">
        <v>47</v>
      </c>
      <c r="H23" s="15"/>
      <c r="I23" s="14" t="s">
        <v>48</v>
      </c>
      <c r="J23" s="14"/>
    </row>
    <row r="24" spans="1:10" ht="90" customHeight="1" x14ac:dyDescent="0.3">
      <c r="A24" s="12">
        <v>21</v>
      </c>
      <c r="B24" s="13" t="s">
        <v>126</v>
      </c>
      <c r="C24" s="16" t="s">
        <v>127</v>
      </c>
      <c r="D24" s="13" t="s">
        <v>128</v>
      </c>
      <c r="E24" s="13" t="s">
        <v>129</v>
      </c>
      <c r="F24" s="13" t="s">
        <v>130</v>
      </c>
      <c r="G24" s="17" t="s">
        <v>47</v>
      </c>
      <c r="H24" s="13"/>
      <c r="I24" s="12" t="s">
        <v>48</v>
      </c>
      <c r="J24" s="12"/>
    </row>
    <row r="25" spans="1:10" ht="36" customHeight="1" x14ac:dyDescent="0.3">
      <c r="A25" s="14">
        <v>22</v>
      </c>
      <c r="B25" s="15" t="s">
        <v>126</v>
      </c>
      <c r="C25" s="18" t="s">
        <v>131</v>
      </c>
      <c r="D25" s="15" t="s">
        <v>132</v>
      </c>
      <c r="E25" s="15" t="s">
        <v>133</v>
      </c>
      <c r="F25" s="15" t="s">
        <v>134</v>
      </c>
      <c r="G25" s="17" t="s">
        <v>47</v>
      </c>
      <c r="H25" s="15"/>
      <c r="I25" s="14" t="s">
        <v>48</v>
      </c>
      <c r="J25" s="14"/>
    </row>
    <row r="26" spans="1:10" ht="36" customHeight="1" x14ac:dyDescent="0.3">
      <c r="A26" s="12">
        <v>23</v>
      </c>
      <c r="B26" s="13" t="s">
        <v>126</v>
      </c>
      <c r="C26" s="16" t="s">
        <v>135</v>
      </c>
      <c r="D26" s="13" t="s">
        <v>136</v>
      </c>
      <c r="E26" s="13" t="s">
        <v>137</v>
      </c>
      <c r="F26" s="13" t="s">
        <v>138</v>
      </c>
      <c r="G26" s="17" t="s">
        <v>47</v>
      </c>
      <c r="H26" s="13"/>
      <c r="I26" s="12" t="s">
        <v>48</v>
      </c>
      <c r="J26" s="12"/>
    </row>
    <row r="27" spans="1:10" ht="24" customHeight="1" x14ac:dyDescent="0.3">
      <c r="A27" s="14">
        <v>24</v>
      </c>
      <c r="B27" s="15" t="s">
        <v>126</v>
      </c>
      <c r="C27" s="18" t="s">
        <v>139</v>
      </c>
      <c r="D27" s="15" t="s">
        <v>140</v>
      </c>
      <c r="E27" s="15" t="s">
        <v>141</v>
      </c>
      <c r="F27" s="15" t="s">
        <v>142</v>
      </c>
      <c r="G27" s="17" t="s">
        <v>47</v>
      </c>
      <c r="H27" s="15"/>
      <c r="I27" s="14" t="s">
        <v>48</v>
      </c>
      <c r="J27" s="14"/>
    </row>
    <row r="28" spans="1:10" ht="54" customHeight="1" x14ac:dyDescent="0.3">
      <c r="A28" s="12">
        <v>25</v>
      </c>
      <c r="B28" s="13" t="s">
        <v>126</v>
      </c>
      <c r="C28" s="16" t="s">
        <v>143</v>
      </c>
      <c r="D28" s="13" t="s">
        <v>144</v>
      </c>
      <c r="E28" s="13" t="s">
        <v>145</v>
      </c>
      <c r="F28" s="13" t="s">
        <v>146</v>
      </c>
      <c r="G28" s="17" t="s">
        <v>47</v>
      </c>
      <c r="H28" s="13"/>
      <c r="I28" s="12" t="s">
        <v>48</v>
      </c>
      <c r="J28" s="12"/>
    </row>
    <row r="29" spans="1:10" ht="36" customHeight="1" x14ac:dyDescent="0.3">
      <c r="A29" s="14">
        <v>26</v>
      </c>
      <c r="B29" s="15" t="s">
        <v>126</v>
      </c>
      <c r="C29" s="18" t="s">
        <v>147</v>
      </c>
      <c r="D29" s="15" t="s">
        <v>148</v>
      </c>
      <c r="E29" s="15" t="s">
        <v>149</v>
      </c>
      <c r="F29" s="15" t="s">
        <v>150</v>
      </c>
      <c r="G29" s="17" t="s">
        <v>47</v>
      </c>
      <c r="H29" s="15"/>
      <c r="I29" s="14" t="s">
        <v>48</v>
      </c>
      <c r="J29" s="14"/>
    </row>
    <row r="30" spans="1:10" ht="54" customHeight="1" x14ac:dyDescent="0.3">
      <c r="A30" s="12">
        <v>27</v>
      </c>
      <c r="B30" s="13" t="s">
        <v>126</v>
      </c>
      <c r="C30" s="16" t="s">
        <v>151</v>
      </c>
      <c r="D30" s="13" t="s">
        <v>152</v>
      </c>
      <c r="E30" s="13" t="s">
        <v>153</v>
      </c>
      <c r="F30" s="13" t="s">
        <v>154</v>
      </c>
      <c r="G30" s="17" t="s">
        <v>47</v>
      </c>
      <c r="H30" s="13"/>
      <c r="I30" s="12" t="s">
        <v>48</v>
      </c>
      <c r="J30" s="12"/>
    </row>
    <row r="31" spans="1:10" ht="36" customHeight="1" x14ac:dyDescent="0.3">
      <c r="A31" s="14">
        <v>28</v>
      </c>
      <c r="B31" s="15" t="s">
        <v>126</v>
      </c>
      <c r="C31" s="18" t="s">
        <v>155</v>
      </c>
      <c r="D31" s="15" t="s">
        <v>156</v>
      </c>
      <c r="E31" s="15" t="s">
        <v>157</v>
      </c>
      <c r="F31" s="15" t="s">
        <v>158</v>
      </c>
      <c r="G31" s="17" t="s">
        <v>47</v>
      </c>
      <c r="H31" s="15"/>
      <c r="I31" s="14" t="s">
        <v>48</v>
      </c>
      <c r="J31" s="14"/>
    </row>
    <row r="32" spans="1:10" ht="24" customHeight="1" x14ac:dyDescent="0.3">
      <c r="A32" s="12">
        <v>29</v>
      </c>
      <c r="B32" s="13" t="s">
        <v>126</v>
      </c>
      <c r="C32" s="16" t="s">
        <v>159</v>
      </c>
      <c r="D32" s="13" t="s">
        <v>160</v>
      </c>
      <c r="E32" s="13" t="s">
        <v>161</v>
      </c>
      <c r="F32" s="13" t="s">
        <v>162</v>
      </c>
      <c r="G32" s="17" t="s">
        <v>47</v>
      </c>
      <c r="H32" s="13"/>
      <c r="I32" s="12" t="s">
        <v>48</v>
      </c>
      <c r="J32" s="12"/>
    </row>
    <row r="33" spans="1:10" ht="24" customHeight="1" x14ac:dyDescent="0.3">
      <c r="A33" s="14">
        <v>30</v>
      </c>
      <c r="B33" s="15" t="s">
        <v>126</v>
      </c>
      <c r="C33" s="18" t="s">
        <v>163</v>
      </c>
      <c r="D33" s="15" t="s">
        <v>164</v>
      </c>
      <c r="E33" s="15" t="s">
        <v>165</v>
      </c>
      <c r="F33" s="15" t="s">
        <v>166</v>
      </c>
      <c r="G33" s="17" t="s">
        <v>47</v>
      </c>
      <c r="H33" s="15"/>
      <c r="I33" s="14" t="s">
        <v>48</v>
      </c>
      <c r="J33" s="14"/>
    </row>
    <row r="34" spans="1:10" ht="24" customHeight="1" x14ac:dyDescent="0.3">
      <c r="A34" s="12">
        <v>31</v>
      </c>
      <c r="B34" s="13" t="s">
        <v>126</v>
      </c>
      <c r="C34" s="16" t="s">
        <v>167</v>
      </c>
      <c r="D34" s="13" t="s">
        <v>168</v>
      </c>
      <c r="E34" s="13" t="s">
        <v>169</v>
      </c>
      <c r="F34" s="13" t="s">
        <v>170</v>
      </c>
      <c r="G34" s="17" t="s">
        <v>47</v>
      </c>
      <c r="H34" s="13"/>
      <c r="I34" s="12" t="s">
        <v>48</v>
      </c>
      <c r="J34" s="12"/>
    </row>
    <row r="35" spans="1:10" ht="24" customHeight="1" x14ac:dyDescent="0.3">
      <c r="A35" s="14">
        <v>32</v>
      </c>
      <c r="B35" s="15" t="s">
        <v>126</v>
      </c>
      <c r="C35" s="18" t="s">
        <v>171</v>
      </c>
      <c r="D35" s="15" t="s">
        <v>172</v>
      </c>
      <c r="E35" s="15" t="s">
        <v>173</v>
      </c>
      <c r="F35" s="15" t="s">
        <v>174</v>
      </c>
      <c r="G35" s="17" t="s">
        <v>47</v>
      </c>
      <c r="H35" s="15"/>
      <c r="I35" s="14" t="s">
        <v>48</v>
      </c>
      <c r="J35" s="14"/>
    </row>
    <row r="36" spans="1:10" ht="24" customHeight="1" x14ac:dyDescent="0.3">
      <c r="A36" s="12">
        <v>33</v>
      </c>
      <c r="B36" s="13" t="s">
        <v>126</v>
      </c>
      <c r="C36" s="16" t="s">
        <v>175</v>
      </c>
      <c r="D36" s="13" t="s">
        <v>176</v>
      </c>
      <c r="E36" s="13" t="s">
        <v>177</v>
      </c>
      <c r="F36" s="13" t="s">
        <v>178</v>
      </c>
      <c r="G36" s="17" t="s">
        <v>47</v>
      </c>
      <c r="H36" s="13"/>
      <c r="I36" s="12" t="s">
        <v>48</v>
      </c>
      <c r="J36" s="12"/>
    </row>
    <row r="37" spans="1:10" ht="54" customHeight="1" x14ac:dyDescent="0.3">
      <c r="A37" s="14">
        <v>34</v>
      </c>
      <c r="B37" s="15" t="s">
        <v>126</v>
      </c>
      <c r="C37" s="18" t="s">
        <v>179</v>
      </c>
      <c r="D37" s="15" t="s">
        <v>180</v>
      </c>
      <c r="E37" s="15" t="s">
        <v>181</v>
      </c>
      <c r="F37" s="15" t="s">
        <v>182</v>
      </c>
      <c r="G37" s="17" t="s">
        <v>47</v>
      </c>
      <c r="H37" s="15"/>
      <c r="I37" s="14" t="s">
        <v>48</v>
      </c>
      <c r="J37" s="14"/>
    </row>
    <row r="38" spans="1:10" ht="36" customHeight="1" x14ac:dyDescent="0.3">
      <c r="A38" s="12">
        <v>35</v>
      </c>
      <c r="B38" s="13" t="s">
        <v>126</v>
      </c>
      <c r="C38" s="16" t="s">
        <v>183</v>
      </c>
      <c r="D38" s="13" t="s">
        <v>184</v>
      </c>
      <c r="E38" s="13" t="s">
        <v>185</v>
      </c>
      <c r="F38" s="13" t="s">
        <v>186</v>
      </c>
      <c r="G38" s="17" t="s">
        <v>47</v>
      </c>
      <c r="H38" s="13"/>
      <c r="I38" s="12" t="s">
        <v>48</v>
      </c>
      <c r="J38" s="12"/>
    </row>
    <row r="39" spans="1:10" ht="54" customHeight="1" x14ac:dyDescent="0.3">
      <c r="A39" s="14">
        <v>36</v>
      </c>
      <c r="B39" s="15" t="s">
        <v>187</v>
      </c>
      <c r="C39" s="18" t="s">
        <v>188</v>
      </c>
      <c r="D39" s="15" t="s">
        <v>189</v>
      </c>
      <c r="E39" s="15" t="s">
        <v>190</v>
      </c>
      <c r="F39" s="15" t="s">
        <v>191</v>
      </c>
      <c r="G39" s="17" t="s">
        <v>47</v>
      </c>
      <c r="H39" s="15"/>
      <c r="I39" s="14" t="s">
        <v>48</v>
      </c>
      <c r="J39" s="14"/>
    </row>
    <row r="40" spans="1:10" ht="24" customHeight="1" x14ac:dyDescent="0.3">
      <c r="A40" s="12">
        <v>37</v>
      </c>
      <c r="B40" s="13" t="s">
        <v>187</v>
      </c>
      <c r="C40" s="16" t="s">
        <v>192</v>
      </c>
      <c r="D40" s="13" t="s">
        <v>193</v>
      </c>
      <c r="E40" s="13" t="s">
        <v>194</v>
      </c>
      <c r="F40" s="13" t="s">
        <v>195</v>
      </c>
      <c r="G40" s="17" t="s">
        <v>47</v>
      </c>
      <c r="H40" s="13"/>
      <c r="I40" s="12" t="s">
        <v>48</v>
      </c>
      <c r="J40" s="12"/>
    </row>
    <row r="41" spans="1:10" ht="24" customHeight="1" x14ac:dyDescent="0.3">
      <c r="A41" s="14">
        <v>38</v>
      </c>
      <c r="B41" s="15" t="s">
        <v>187</v>
      </c>
      <c r="C41" s="18" t="s">
        <v>196</v>
      </c>
      <c r="D41" s="15" t="s">
        <v>197</v>
      </c>
      <c r="E41" s="15" t="s">
        <v>198</v>
      </c>
      <c r="F41" s="15" t="s">
        <v>199</v>
      </c>
      <c r="G41" s="17" t="s">
        <v>47</v>
      </c>
      <c r="H41" s="15"/>
      <c r="I41" s="14" t="s">
        <v>48</v>
      </c>
      <c r="J41" s="14"/>
    </row>
    <row r="42" spans="1:10" ht="24" customHeight="1" x14ac:dyDescent="0.3">
      <c r="A42" s="12">
        <v>39</v>
      </c>
      <c r="B42" s="13" t="s">
        <v>187</v>
      </c>
      <c r="C42" s="16" t="s">
        <v>200</v>
      </c>
      <c r="D42" s="13" t="s">
        <v>201</v>
      </c>
      <c r="E42" s="13" t="s">
        <v>202</v>
      </c>
      <c r="F42" s="13" t="s">
        <v>203</v>
      </c>
      <c r="G42" s="17" t="s">
        <v>47</v>
      </c>
      <c r="H42" s="13"/>
      <c r="I42" s="12" t="s">
        <v>48</v>
      </c>
      <c r="J42" s="12"/>
    </row>
    <row r="43" spans="1:10" ht="24" customHeight="1" x14ac:dyDescent="0.3">
      <c r="A43" s="14">
        <v>40</v>
      </c>
      <c r="B43" s="15" t="s">
        <v>187</v>
      </c>
      <c r="C43" s="18" t="s">
        <v>204</v>
      </c>
      <c r="D43" s="15" t="s">
        <v>205</v>
      </c>
      <c r="E43" s="15" t="s">
        <v>206</v>
      </c>
      <c r="F43" s="15" t="s">
        <v>207</v>
      </c>
      <c r="G43" s="17" t="s">
        <v>47</v>
      </c>
      <c r="H43" s="15"/>
      <c r="I43" s="14" t="s">
        <v>48</v>
      </c>
      <c r="J43" s="14"/>
    </row>
    <row r="44" spans="1:10" ht="24" customHeight="1" x14ac:dyDescent="0.3">
      <c r="A44" s="12">
        <v>41</v>
      </c>
      <c r="B44" s="13" t="s">
        <v>187</v>
      </c>
      <c r="C44" s="16" t="s">
        <v>208</v>
      </c>
      <c r="D44" s="13" t="s">
        <v>209</v>
      </c>
      <c r="E44" s="13" t="s">
        <v>210</v>
      </c>
      <c r="F44" s="13" t="s">
        <v>211</v>
      </c>
      <c r="G44" s="17" t="s">
        <v>47</v>
      </c>
      <c r="H44" s="13"/>
      <c r="I44" s="12" t="s">
        <v>48</v>
      </c>
      <c r="J44" s="12"/>
    </row>
    <row r="45" spans="1:10" ht="36" customHeight="1" x14ac:dyDescent="0.3">
      <c r="A45" s="14">
        <v>42</v>
      </c>
      <c r="B45" s="15" t="s">
        <v>187</v>
      </c>
      <c r="C45" s="18" t="s">
        <v>212</v>
      </c>
      <c r="D45" s="15" t="s">
        <v>213</v>
      </c>
      <c r="E45" s="15" t="s">
        <v>214</v>
      </c>
      <c r="F45" s="15" t="s">
        <v>215</v>
      </c>
      <c r="G45" s="17" t="s">
        <v>47</v>
      </c>
      <c r="H45" s="15"/>
      <c r="I45" s="14" t="s">
        <v>48</v>
      </c>
      <c r="J45" s="14"/>
    </row>
    <row r="46" spans="1:10" ht="24" customHeight="1" x14ac:dyDescent="0.3">
      <c r="A46" s="12">
        <v>43</v>
      </c>
      <c r="B46" s="13" t="s">
        <v>187</v>
      </c>
      <c r="C46" s="16" t="s">
        <v>216</v>
      </c>
      <c r="D46" s="13" t="s">
        <v>217</v>
      </c>
      <c r="E46" s="13" t="s">
        <v>218</v>
      </c>
      <c r="F46" s="13" t="s">
        <v>219</v>
      </c>
      <c r="G46" s="17" t="s">
        <v>47</v>
      </c>
      <c r="H46" s="13"/>
      <c r="I46" s="12" t="s">
        <v>48</v>
      </c>
      <c r="J46" s="12"/>
    </row>
    <row r="47" spans="1:10" ht="24" customHeight="1" x14ac:dyDescent="0.3">
      <c r="A47" s="14">
        <v>44</v>
      </c>
      <c r="B47" s="15" t="s">
        <v>187</v>
      </c>
      <c r="C47" s="18" t="s">
        <v>220</v>
      </c>
      <c r="D47" s="15" t="s">
        <v>221</v>
      </c>
      <c r="E47" s="15" t="s">
        <v>222</v>
      </c>
      <c r="F47" s="15" t="s">
        <v>223</v>
      </c>
      <c r="G47" s="17" t="s">
        <v>47</v>
      </c>
      <c r="H47" s="15"/>
      <c r="I47" s="14" t="s">
        <v>48</v>
      </c>
      <c r="J47" s="14"/>
    </row>
    <row r="48" spans="1:10" ht="24" customHeight="1" x14ac:dyDescent="0.3">
      <c r="A48" s="12">
        <v>45</v>
      </c>
      <c r="B48" s="13" t="s">
        <v>187</v>
      </c>
      <c r="C48" s="16" t="s">
        <v>224</v>
      </c>
      <c r="D48" s="13" t="s">
        <v>225</v>
      </c>
      <c r="E48" s="13" t="s">
        <v>226</v>
      </c>
      <c r="F48" s="13" t="s">
        <v>227</v>
      </c>
      <c r="G48" s="17" t="s">
        <v>47</v>
      </c>
      <c r="H48" s="13"/>
      <c r="I48" s="12" t="s">
        <v>48</v>
      </c>
      <c r="J48" s="12"/>
    </row>
    <row r="49" spans="1:10" ht="54" customHeight="1" x14ac:dyDescent="0.3">
      <c r="A49" s="14">
        <v>46</v>
      </c>
      <c r="B49" s="15" t="s">
        <v>228</v>
      </c>
      <c r="C49" s="18" t="s">
        <v>229</v>
      </c>
      <c r="D49" s="15" t="s">
        <v>230</v>
      </c>
      <c r="E49" s="15" t="s">
        <v>231</v>
      </c>
      <c r="F49" s="15" t="s">
        <v>232</v>
      </c>
      <c r="G49" s="17" t="s">
        <v>47</v>
      </c>
      <c r="H49" s="15"/>
      <c r="I49" s="14" t="s">
        <v>48</v>
      </c>
      <c r="J49" s="14"/>
    </row>
    <row r="50" spans="1:10" ht="36" customHeight="1" x14ac:dyDescent="0.3">
      <c r="A50" s="12">
        <v>47</v>
      </c>
      <c r="B50" s="13" t="s">
        <v>228</v>
      </c>
      <c r="C50" s="16" t="s">
        <v>233</v>
      </c>
      <c r="D50" s="13" t="s">
        <v>234</v>
      </c>
      <c r="E50" s="13" t="s">
        <v>235</v>
      </c>
      <c r="F50" s="13" t="s">
        <v>236</v>
      </c>
      <c r="G50" s="17" t="s">
        <v>47</v>
      </c>
      <c r="H50" s="13"/>
      <c r="I50" s="12" t="s">
        <v>48</v>
      </c>
      <c r="J50" s="12"/>
    </row>
    <row r="51" spans="1:10" ht="24" customHeight="1" x14ac:dyDescent="0.3">
      <c r="A51" s="14">
        <v>48</v>
      </c>
      <c r="B51" s="15" t="s">
        <v>228</v>
      </c>
      <c r="C51" s="18" t="s">
        <v>237</v>
      </c>
      <c r="D51" s="15" t="s">
        <v>238</v>
      </c>
      <c r="E51" s="15" t="s">
        <v>239</v>
      </c>
      <c r="F51" s="15" t="s">
        <v>240</v>
      </c>
      <c r="G51" s="17" t="s">
        <v>47</v>
      </c>
      <c r="H51" s="15"/>
      <c r="I51" s="14" t="s">
        <v>48</v>
      </c>
      <c r="J51" s="14"/>
    </row>
    <row r="52" spans="1:10" ht="24" customHeight="1" x14ac:dyDescent="0.3">
      <c r="A52" s="12">
        <v>49</v>
      </c>
      <c r="B52" s="13" t="s">
        <v>228</v>
      </c>
      <c r="C52" s="16" t="s">
        <v>241</v>
      </c>
      <c r="D52" s="13" t="s">
        <v>242</v>
      </c>
      <c r="E52" s="13" t="s">
        <v>243</v>
      </c>
      <c r="F52" s="13" t="s">
        <v>244</v>
      </c>
      <c r="G52" s="17" t="s">
        <v>47</v>
      </c>
      <c r="H52" s="13"/>
      <c r="I52" s="12" t="s">
        <v>48</v>
      </c>
      <c r="J52" s="12"/>
    </row>
    <row r="53" spans="1:10" ht="54" customHeight="1" x14ac:dyDescent="0.3">
      <c r="A53" s="14">
        <v>50</v>
      </c>
      <c r="B53" s="15" t="s">
        <v>228</v>
      </c>
      <c r="C53" s="18" t="s">
        <v>245</v>
      </c>
      <c r="D53" s="15" t="s">
        <v>246</v>
      </c>
      <c r="E53" s="15" t="s">
        <v>247</v>
      </c>
      <c r="F53" s="15" t="s">
        <v>248</v>
      </c>
      <c r="G53" s="17" t="s">
        <v>47</v>
      </c>
      <c r="H53" s="15"/>
      <c r="I53" s="14" t="s">
        <v>48</v>
      </c>
      <c r="J53" s="14"/>
    </row>
    <row r="54" spans="1:10" ht="24" customHeight="1" x14ac:dyDescent="0.3">
      <c r="A54" s="12">
        <v>51</v>
      </c>
      <c r="B54" s="13" t="s">
        <v>228</v>
      </c>
      <c r="C54" s="16" t="s">
        <v>249</v>
      </c>
      <c r="D54" s="13" t="s">
        <v>250</v>
      </c>
      <c r="E54" s="13" t="s">
        <v>251</v>
      </c>
      <c r="F54" s="13" t="s">
        <v>252</v>
      </c>
      <c r="G54" s="17" t="s">
        <v>47</v>
      </c>
      <c r="H54" s="13"/>
      <c r="I54" s="12" t="s">
        <v>48</v>
      </c>
      <c r="J54" s="12"/>
    </row>
    <row r="55" spans="1:10" ht="24" customHeight="1" x14ac:dyDescent="0.3">
      <c r="A55" s="14">
        <v>52</v>
      </c>
      <c r="B55" s="15" t="s">
        <v>228</v>
      </c>
      <c r="C55" s="18" t="s">
        <v>253</v>
      </c>
      <c r="D55" s="15" t="s">
        <v>254</v>
      </c>
      <c r="E55" s="15" t="s">
        <v>255</v>
      </c>
      <c r="F55" s="15" t="s">
        <v>256</v>
      </c>
      <c r="G55" s="17" t="s">
        <v>47</v>
      </c>
      <c r="H55" s="15"/>
      <c r="I55" s="14" t="s">
        <v>48</v>
      </c>
      <c r="J55" s="14"/>
    </row>
    <row r="56" spans="1:10" ht="24" customHeight="1" x14ac:dyDescent="0.3">
      <c r="A56" s="12">
        <v>53</v>
      </c>
      <c r="B56" s="13" t="s">
        <v>228</v>
      </c>
      <c r="C56" s="16" t="s">
        <v>257</v>
      </c>
      <c r="D56" s="13" t="s">
        <v>258</v>
      </c>
      <c r="E56" s="13" t="s">
        <v>259</v>
      </c>
      <c r="F56" s="13" t="s">
        <v>260</v>
      </c>
      <c r="G56" s="17" t="s">
        <v>47</v>
      </c>
      <c r="H56" s="13"/>
      <c r="I56" s="12" t="s">
        <v>48</v>
      </c>
      <c r="J56" s="12"/>
    </row>
    <row r="57" spans="1:10" ht="24" customHeight="1" x14ac:dyDescent="0.3">
      <c r="A57" s="14">
        <v>54</v>
      </c>
      <c r="B57" s="15" t="s">
        <v>228</v>
      </c>
      <c r="C57" s="18" t="s">
        <v>261</v>
      </c>
      <c r="D57" s="15" t="s">
        <v>262</v>
      </c>
      <c r="E57" s="15" t="s">
        <v>263</v>
      </c>
      <c r="F57" s="15" t="s">
        <v>264</v>
      </c>
      <c r="G57" s="17" t="s">
        <v>47</v>
      </c>
      <c r="H57" s="15"/>
      <c r="I57" s="14" t="s">
        <v>48</v>
      </c>
      <c r="J57" s="14"/>
    </row>
    <row r="58" spans="1:10" ht="24" customHeight="1" x14ac:dyDescent="0.3">
      <c r="A58" s="12">
        <v>55</v>
      </c>
      <c r="B58" s="13" t="s">
        <v>228</v>
      </c>
      <c r="C58" s="16" t="s">
        <v>265</v>
      </c>
      <c r="D58" s="13" t="s">
        <v>266</v>
      </c>
      <c r="E58" s="13" t="s">
        <v>267</v>
      </c>
      <c r="F58" s="13" t="s">
        <v>268</v>
      </c>
      <c r="G58" s="17" t="s">
        <v>47</v>
      </c>
      <c r="H58" s="13"/>
      <c r="I58" s="12" t="s">
        <v>48</v>
      </c>
      <c r="J58" s="12"/>
    </row>
    <row r="59" spans="1:10" ht="72" customHeight="1" x14ac:dyDescent="0.3">
      <c r="A59" s="14">
        <v>56</v>
      </c>
      <c r="B59" s="15" t="s">
        <v>269</v>
      </c>
      <c r="C59" s="18" t="s">
        <v>270</v>
      </c>
      <c r="D59" s="15" t="s">
        <v>271</v>
      </c>
      <c r="E59" s="15" t="s">
        <v>272</v>
      </c>
      <c r="F59" s="15" t="s">
        <v>273</v>
      </c>
      <c r="G59" s="17" t="s">
        <v>47</v>
      </c>
      <c r="H59" s="15"/>
      <c r="I59" s="14" t="s">
        <v>48</v>
      </c>
      <c r="J59" s="14"/>
    </row>
    <row r="60" spans="1:10" ht="24" customHeight="1" x14ac:dyDescent="0.3">
      <c r="A60" s="12">
        <v>57</v>
      </c>
      <c r="B60" s="13" t="s">
        <v>269</v>
      </c>
      <c r="C60" s="16" t="s">
        <v>274</v>
      </c>
      <c r="D60" s="13" t="s">
        <v>275</v>
      </c>
      <c r="E60" s="13" t="s">
        <v>276</v>
      </c>
      <c r="F60" s="13" t="s">
        <v>277</v>
      </c>
      <c r="G60" s="17" t="s">
        <v>47</v>
      </c>
      <c r="H60" s="13"/>
      <c r="I60" s="12" t="s">
        <v>48</v>
      </c>
      <c r="J60" s="12"/>
    </row>
    <row r="61" spans="1:10" ht="24" customHeight="1" x14ac:dyDescent="0.3">
      <c r="A61" s="14">
        <v>58</v>
      </c>
      <c r="B61" s="15" t="s">
        <v>269</v>
      </c>
      <c r="C61" s="18" t="s">
        <v>278</v>
      </c>
      <c r="D61" s="15" t="s">
        <v>279</v>
      </c>
      <c r="E61" s="15" t="s">
        <v>280</v>
      </c>
      <c r="F61" s="15" t="s">
        <v>281</v>
      </c>
      <c r="G61" s="17" t="s">
        <v>47</v>
      </c>
      <c r="H61" s="15"/>
      <c r="I61" s="14" t="s">
        <v>48</v>
      </c>
      <c r="J61" s="14"/>
    </row>
    <row r="62" spans="1:10" ht="24" customHeight="1" x14ac:dyDescent="0.3">
      <c r="A62" s="12">
        <v>59</v>
      </c>
      <c r="B62" s="13" t="s">
        <v>269</v>
      </c>
      <c r="C62" s="16" t="s">
        <v>282</v>
      </c>
      <c r="D62" s="13" t="s">
        <v>283</v>
      </c>
      <c r="E62" s="13" t="s">
        <v>284</v>
      </c>
      <c r="F62" s="13" t="s">
        <v>285</v>
      </c>
      <c r="G62" s="17" t="s">
        <v>47</v>
      </c>
      <c r="H62" s="13"/>
      <c r="I62" s="12" t="s">
        <v>48</v>
      </c>
      <c r="J62" s="12"/>
    </row>
    <row r="63" spans="1:10" ht="36" customHeight="1" x14ac:dyDescent="0.3">
      <c r="A63" s="14">
        <v>60</v>
      </c>
      <c r="B63" s="15" t="s">
        <v>269</v>
      </c>
      <c r="C63" s="18" t="s">
        <v>286</v>
      </c>
      <c r="D63" s="15" t="s">
        <v>287</v>
      </c>
      <c r="E63" s="15" t="s">
        <v>288</v>
      </c>
      <c r="F63" s="15" t="s">
        <v>289</v>
      </c>
      <c r="G63" s="17" t="s">
        <v>47</v>
      </c>
      <c r="H63" s="15"/>
      <c r="I63" s="14" t="s">
        <v>48</v>
      </c>
      <c r="J63" s="14"/>
    </row>
    <row r="64" spans="1:10" ht="36" customHeight="1" x14ac:dyDescent="0.3">
      <c r="A64" s="12">
        <v>61</v>
      </c>
      <c r="B64" s="13" t="s">
        <v>269</v>
      </c>
      <c r="C64" s="16" t="s">
        <v>290</v>
      </c>
      <c r="D64" s="13" t="s">
        <v>291</v>
      </c>
      <c r="E64" s="13" t="s">
        <v>292</v>
      </c>
      <c r="F64" s="13" t="s">
        <v>293</v>
      </c>
      <c r="G64" s="17" t="s">
        <v>47</v>
      </c>
      <c r="H64" s="13"/>
      <c r="I64" s="12" t="s">
        <v>48</v>
      </c>
      <c r="J64" s="12"/>
    </row>
    <row r="65" spans="1:10" ht="36" customHeight="1" x14ac:dyDescent="0.3">
      <c r="A65" s="14">
        <v>62</v>
      </c>
      <c r="B65" s="15" t="s">
        <v>269</v>
      </c>
      <c r="C65" s="18" t="s">
        <v>294</v>
      </c>
      <c r="D65" s="15" t="s">
        <v>295</v>
      </c>
      <c r="E65" s="15" t="s">
        <v>296</v>
      </c>
      <c r="F65" s="15" t="s">
        <v>297</v>
      </c>
      <c r="G65" s="17" t="s">
        <v>47</v>
      </c>
      <c r="H65" s="15"/>
      <c r="I65" s="14" t="s">
        <v>48</v>
      </c>
      <c r="J65" s="14"/>
    </row>
    <row r="66" spans="1:10" ht="24" customHeight="1" x14ac:dyDescent="0.3">
      <c r="A66" s="12">
        <v>63</v>
      </c>
      <c r="B66" s="13" t="s">
        <v>269</v>
      </c>
      <c r="C66" s="16" t="s">
        <v>298</v>
      </c>
      <c r="D66" s="13" t="s">
        <v>299</v>
      </c>
      <c r="E66" s="13" t="s">
        <v>300</v>
      </c>
      <c r="F66" s="13" t="s">
        <v>301</v>
      </c>
      <c r="G66" s="17" t="s">
        <v>47</v>
      </c>
      <c r="H66" s="13"/>
      <c r="I66" s="12" t="s">
        <v>48</v>
      </c>
      <c r="J66" s="12"/>
    </row>
    <row r="67" spans="1:10" ht="36" customHeight="1" x14ac:dyDescent="0.3">
      <c r="A67" s="14">
        <v>64</v>
      </c>
      <c r="B67" s="15" t="s">
        <v>269</v>
      </c>
      <c r="C67" s="18" t="s">
        <v>302</v>
      </c>
      <c r="D67" s="15" t="s">
        <v>303</v>
      </c>
      <c r="E67" s="15" t="s">
        <v>304</v>
      </c>
      <c r="F67" s="15" t="s">
        <v>305</v>
      </c>
      <c r="G67" s="17" t="s">
        <v>47</v>
      </c>
      <c r="H67" s="15"/>
      <c r="I67" s="14" t="s">
        <v>48</v>
      </c>
      <c r="J67" s="14"/>
    </row>
    <row r="68" spans="1:10" ht="24" customHeight="1" x14ac:dyDescent="0.3">
      <c r="A68" s="12">
        <v>65</v>
      </c>
      <c r="B68" s="13" t="s">
        <v>269</v>
      </c>
      <c r="C68" s="16" t="s">
        <v>306</v>
      </c>
      <c r="D68" s="13" t="s">
        <v>307</v>
      </c>
      <c r="E68" s="13" t="s">
        <v>308</v>
      </c>
      <c r="F68" s="13" t="s">
        <v>309</v>
      </c>
      <c r="G68" s="17" t="s">
        <v>47</v>
      </c>
      <c r="H68" s="13"/>
      <c r="I68" s="12" t="s">
        <v>48</v>
      </c>
      <c r="J68" s="12"/>
    </row>
    <row r="69" spans="1:10" ht="24" customHeight="1" x14ac:dyDescent="0.3">
      <c r="A69" s="14">
        <v>66</v>
      </c>
      <c r="B69" s="15" t="s">
        <v>269</v>
      </c>
      <c r="C69" s="18" t="s">
        <v>310</v>
      </c>
      <c r="D69" s="15" t="s">
        <v>311</v>
      </c>
      <c r="E69" s="15" t="s">
        <v>312</v>
      </c>
      <c r="F69" s="15" t="s">
        <v>313</v>
      </c>
      <c r="G69" s="17" t="s">
        <v>47</v>
      </c>
      <c r="H69" s="15"/>
      <c r="I69" s="14" t="s">
        <v>48</v>
      </c>
      <c r="J69" s="14"/>
    </row>
    <row r="70" spans="1:10" ht="24" customHeight="1" x14ac:dyDescent="0.3">
      <c r="A70" s="12">
        <v>67</v>
      </c>
      <c r="B70" s="13" t="s">
        <v>269</v>
      </c>
      <c r="C70" s="16" t="s">
        <v>314</v>
      </c>
      <c r="D70" s="13" t="s">
        <v>315</v>
      </c>
      <c r="E70" s="13" t="s">
        <v>316</v>
      </c>
      <c r="F70" s="13" t="s">
        <v>317</v>
      </c>
      <c r="G70" s="17" t="s">
        <v>47</v>
      </c>
      <c r="H70" s="13"/>
      <c r="I70" s="12" t="s">
        <v>48</v>
      </c>
      <c r="J70" s="12"/>
    </row>
    <row r="71" spans="1:10" ht="24" customHeight="1" x14ac:dyDescent="0.3">
      <c r="A71" s="14">
        <v>68</v>
      </c>
      <c r="B71" s="15" t="s">
        <v>269</v>
      </c>
      <c r="C71" s="18" t="s">
        <v>318</v>
      </c>
      <c r="D71" s="15" t="s">
        <v>319</v>
      </c>
      <c r="E71" s="15" t="s">
        <v>320</v>
      </c>
      <c r="F71" s="15" t="s">
        <v>321</v>
      </c>
      <c r="G71" s="17" t="s">
        <v>47</v>
      </c>
      <c r="H71" s="15"/>
      <c r="I71" s="14" t="s">
        <v>48</v>
      </c>
      <c r="J71" s="14"/>
    </row>
    <row r="72" spans="1:10" ht="24" customHeight="1" x14ac:dyDescent="0.3">
      <c r="A72" s="12">
        <v>69</v>
      </c>
      <c r="B72" s="13" t="s">
        <v>269</v>
      </c>
      <c r="C72" s="16" t="s">
        <v>322</v>
      </c>
      <c r="D72" s="13" t="s">
        <v>323</v>
      </c>
      <c r="E72" s="13" t="s">
        <v>324</v>
      </c>
      <c r="F72" s="13" t="s">
        <v>325</v>
      </c>
      <c r="G72" s="17" t="s">
        <v>47</v>
      </c>
      <c r="H72" s="13"/>
      <c r="I72" s="12" t="s">
        <v>48</v>
      </c>
      <c r="J72" s="12"/>
    </row>
    <row r="73" spans="1:10" ht="24" customHeight="1" x14ac:dyDescent="0.3">
      <c r="A73" s="14">
        <v>70</v>
      </c>
      <c r="B73" s="15" t="s">
        <v>269</v>
      </c>
      <c r="C73" s="18" t="s">
        <v>326</v>
      </c>
      <c r="D73" s="15" t="s">
        <v>327</v>
      </c>
      <c r="E73" s="15" t="s">
        <v>328</v>
      </c>
      <c r="F73" s="15" t="s">
        <v>329</v>
      </c>
      <c r="G73" s="17" t="s">
        <v>47</v>
      </c>
      <c r="H73" s="15"/>
      <c r="I73" s="14" t="s">
        <v>48</v>
      </c>
      <c r="J73" s="14"/>
    </row>
    <row r="74" spans="1:10" ht="36" customHeight="1" x14ac:dyDescent="0.3">
      <c r="A74" s="12">
        <v>71</v>
      </c>
      <c r="B74" s="13" t="s">
        <v>269</v>
      </c>
      <c r="C74" s="16" t="s">
        <v>330</v>
      </c>
      <c r="D74" s="13" t="s">
        <v>331</v>
      </c>
      <c r="E74" s="13" t="s">
        <v>332</v>
      </c>
      <c r="F74" s="13" t="s">
        <v>333</v>
      </c>
      <c r="G74" s="17" t="s">
        <v>47</v>
      </c>
      <c r="H74" s="13"/>
      <c r="I74" s="12" t="s">
        <v>48</v>
      </c>
      <c r="J74" s="12"/>
    </row>
    <row r="75" spans="1:10" ht="54" customHeight="1" x14ac:dyDescent="0.3">
      <c r="A75" s="14">
        <v>72</v>
      </c>
      <c r="B75" s="15" t="s">
        <v>334</v>
      </c>
      <c r="C75" s="18" t="s">
        <v>335</v>
      </c>
      <c r="D75" s="15" t="s">
        <v>336</v>
      </c>
      <c r="E75" s="15" t="s">
        <v>337</v>
      </c>
      <c r="F75" s="15" t="s">
        <v>338</v>
      </c>
      <c r="G75" s="17" t="s">
        <v>47</v>
      </c>
      <c r="H75" s="15"/>
      <c r="I75" s="14" t="s">
        <v>48</v>
      </c>
      <c r="J75" s="14"/>
    </row>
    <row r="76" spans="1:10" ht="36" customHeight="1" x14ac:dyDescent="0.3">
      <c r="A76" s="12">
        <v>73</v>
      </c>
      <c r="B76" s="13" t="s">
        <v>334</v>
      </c>
      <c r="C76" s="16" t="s">
        <v>339</v>
      </c>
      <c r="D76" s="13" t="s">
        <v>340</v>
      </c>
      <c r="E76" s="13" t="s">
        <v>341</v>
      </c>
      <c r="F76" s="13" t="s">
        <v>342</v>
      </c>
      <c r="G76" s="17" t="s">
        <v>47</v>
      </c>
      <c r="H76" s="13"/>
      <c r="I76" s="12" t="s">
        <v>48</v>
      </c>
      <c r="J76" s="12"/>
    </row>
    <row r="77" spans="1:10" ht="36" customHeight="1" x14ac:dyDescent="0.3">
      <c r="A77" s="14">
        <v>74</v>
      </c>
      <c r="B77" s="15" t="s">
        <v>334</v>
      </c>
      <c r="C77" s="18" t="s">
        <v>343</v>
      </c>
      <c r="D77" s="15" t="s">
        <v>344</v>
      </c>
      <c r="E77" s="15" t="s">
        <v>345</v>
      </c>
      <c r="F77" s="15" t="s">
        <v>346</v>
      </c>
      <c r="G77" s="17" t="s">
        <v>47</v>
      </c>
      <c r="H77" s="15"/>
      <c r="I77" s="14" t="s">
        <v>48</v>
      </c>
      <c r="J77" s="14"/>
    </row>
    <row r="78" spans="1:10" ht="24" customHeight="1" x14ac:dyDescent="0.3">
      <c r="A78" s="12">
        <v>75</v>
      </c>
      <c r="B78" s="13" t="s">
        <v>334</v>
      </c>
      <c r="C78" s="16" t="s">
        <v>347</v>
      </c>
      <c r="D78" s="13" t="s">
        <v>348</v>
      </c>
      <c r="E78" s="13" t="s">
        <v>349</v>
      </c>
      <c r="F78" s="13" t="s">
        <v>350</v>
      </c>
      <c r="G78" s="17" t="s">
        <v>47</v>
      </c>
      <c r="H78" s="13"/>
      <c r="I78" s="12" t="s">
        <v>48</v>
      </c>
      <c r="J78" s="12"/>
    </row>
    <row r="79" spans="1:10" ht="24" customHeight="1" x14ac:dyDescent="0.3">
      <c r="A79" s="14">
        <v>76</v>
      </c>
      <c r="B79" s="15" t="s">
        <v>334</v>
      </c>
      <c r="C79" s="18" t="s">
        <v>351</v>
      </c>
      <c r="D79" s="15" t="s">
        <v>352</v>
      </c>
      <c r="E79" s="15" t="s">
        <v>353</v>
      </c>
      <c r="F79" s="15" t="s">
        <v>354</v>
      </c>
      <c r="G79" s="17" t="s">
        <v>47</v>
      </c>
      <c r="H79" s="15"/>
      <c r="I79" s="14" t="s">
        <v>48</v>
      </c>
      <c r="J79" s="14"/>
    </row>
    <row r="80" spans="1:10" ht="24" customHeight="1" x14ac:dyDescent="0.3">
      <c r="A80" s="12">
        <v>77</v>
      </c>
      <c r="B80" s="13" t="s">
        <v>334</v>
      </c>
      <c r="C80" s="16" t="s">
        <v>355</v>
      </c>
      <c r="D80" s="13" t="s">
        <v>356</v>
      </c>
      <c r="E80" s="13" t="s">
        <v>357</v>
      </c>
      <c r="F80" s="13" t="s">
        <v>358</v>
      </c>
      <c r="G80" s="17" t="s">
        <v>47</v>
      </c>
      <c r="H80" s="13"/>
      <c r="I80" s="12" t="s">
        <v>48</v>
      </c>
      <c r="J80" s="12"/>
    </row>
    <row r="81" spans="1:10" ht="24" customHeight="1" x14ac:dyDescent="0.3">
      <c r="A81" s="14">
        <v>78</v>
      </c>
      <c r="B81" s="15" t="s">
        <v>334</v>
      </c>
      <c r="C81" s="18" t="s">
        <v>359</v>
      </c>
      <c r="D81" s="15" t="s">
        <v>360</v>
      </c>
      <c r="E81" s="15" t="s">
        <v>361</v>
      </c>
      <c r="F81" s="15" t="s">
        <v>362</v>
      </c>
      <c r="G81" s="17" t="s">
        <v>47</v>
      </c>
      <c r="H81" s="15"/>
      <c r="I81" s="14" t="s">
        <v>48</v>
      </c>
      <c r="J81" s="14"/>
    </row>
    <row r="82" spans="1:10" ht="24" customHeight="1" x14ac:dyDescent="0.3">
      <c r="A82" s="12">
        <v>79</v>
      </c>
      <c r="B82" s="13" t="s">
        <v>334</v>
      </c>
      <c r="C82" s="16" t="s">
        <v>363</v>
      </c>
      <c r="D82" s="13" t="s">
        <v>364</v>
      </c>
      <c r="E82" s="13" t="s">
        <v>365</v>
      </c>
      <c r="F82" s="13" t="s">
        <v>366</v>
      </c>
      <c r="G82" s="17" t="s">
        <v>47</v>
      </c>
      <c r="H82" s="13"/>
      <c r="I82" s="12" t="s">
        <v>48</v>
      </c>
      <c r="J82" s="12"/>
    </row>
    <row r="83" spans="1:10" ht="24" customHeight="1" x14ac:dyDescent="0.3">
      <c r="A83" s="14">
        <v>80</v>
      </c>
      <c r="B83" s="15" t="s">
        <v>334</v>
      </c>
      <c r="C83" s="18" t="s">
        <v>367</v>
      </c>
      <c r="D83" s="15" t="s">
        <v>368</v>
      </c>
      <c r="E83" s="15" t="s">
        <v>369</v>
      </c>
      <c r="F83" s="15" t="s">
        <v>370</v>
      </c>
      <c r="G83" s="17" t="s">
        <v>47</v>
      </c>
      <c r="H83" s="15"/>
      <c r="I83" s="14" t="s">
        <v>48</v>
      </c>
      <c r="J83" s="14"/>
    </row>
    <row r="84" spans="1:10" ht="54" customHeight="1" x14ac:dyDescent="0.3">
      <c r="A84" s="12">
        <v>81</v>
      </c>
      <c r="B84" s="13" t="s">
        <v>334</v>
      </c>
      <c r="C84" s="16" t="s">
        <v>371</v>
      </c>
      <c r="D84" s="13" t="s">
        <v>372</v>
      </c>
      <c r="E84" s="13" t="s">
        <v>373</v>
      </c>
      <c r="F84" s="13" t="s">
        <v>374</v>
      </c>
      <c r="G84" s="17" t="s">
        <v>47</v>
      </c>
      <c r="H84" s="13"/>
      <c r="I84" s="12" t="s">
        <v>48</v>
      </c>
      <c r="J84" s="12"/>
    </row>
    <row r="85" spans="1:10" ht="24" customHeight="1" x14ac:dyDescent="0.3">
      <c r="A85" s="14">
        <v>82</v>
      </c>
      <c r="B85" s="15" t="s">
        <v>334</v>
      </c>
      <c r="C85" s="18" t="s">
        <v>375</v>
      </c>
      <c r="D85" s="15" t="s">
        <v>376</v>
      </c>
      <c r="E85" s="15" t="s">
        <v>377</v>
      </c>
      <c r="F85" s="15" t="s">
        <v>378</v>
      </c>
      <c r="G85" s="17" t="s">
        <v>47</v>
      </c>
      <c r="H85" s="15"/>
      <c r="I85" s="14" t="s">
        <v>48</v>
      </c>
      <c r="J85" s="14"/>
    </row>
    <row r="86" spans="1:10" ht="36" customHeight="1" x14ac:dyDescent="0.3">
      <c r="A86" s="12">
        <v>83</v>
      </c>
      <c r="B86" s="13" t="s">
        <v>334</v>
      </c>
      <c r="C86" s="16" t="s">
        <v>379</v>
      </c>
      <c r="D86" s="13" t="s">
        <v>380</v>
      </c>
      <c r="E86" s="13" t="s">
        <v>381</v>
      </c>
      <c r="F86" s="13" t="s">
        <v>382</v>
      </c>
      <c r="G86" s="17" t="s">
        <v>47</v>
      </c>
      <c r="H86" s="13"/>
      <c r="I86" s="12" t="s">
        <v>48</v>
      </c>
      <c r="J86" s="12"/>
    </row>
    <row r="87" spans="1:10" ht="24" customHeight="1" x14ac:dyDescent="0.3">
      <c r="A87" s="14">
        <v>84</v>
      </c>
      <c r="B87" s="15" t="s">
        <v>383</v>
      </c>
      <c r="C87" s="18" t="s">
        <v>384</v>
      </c>
      <c r="D87" s="15" t="s">
        <v>385</v>
      </c>
      <c r="E87" s="15" t="s">
        <v>386</v>
      </c>
      <c r="F87" s="15" t="s">
        <v>387</v>
      </c>
      <c r="G87" s="17" t="s">
        <v>47</v>
      </c>
      <c r="H87" s="15"/>
      <c r="I87" s="14" t="s">
        <v>48</v>
      </c>
      <c r="J87" s="14"/>
    </row>
    <row r="88" spans="1:10" ht="36" customHeight="1" x14ac:dyDescent="0.3">
      <c r="A88" s="12">
        <v>85</v>
      </c>
      <c r="B88" s="13" t="s">
        <v>383</v>
      </c>
      <c r="C88" s="16" t="s">
        <v>388</v>
      </c>
      <c r="D88" s="13" t="s">
        <v>389</v>
      </c>
      <c r="E88" s="13" t="s">
        <v>390</v>
      </c>
      <c r="F88" s="13" t="s">
        <v>391</v>
      </c>
      <c r="G88" s="17" t="s">
        <v>47</v>
      </c>
      <c r="H88" s="13"/>
      <c r="I88" s="12" t="s">
        <v>48</v>
      </c>
      <c r="J88" s="12"/>
    </row>
    <row r="89" spans="1:10" ht="24" customHeight="1" x14ac:dyDescent="0.3">
      <c r="A89" s="14">
        <v>86</v>
      </c>
      <c r="B89" s="15" t="s">
        <v>383</v>
      </c>
      <c r="C89" s="18" t="s">
        <v>392</v>
      </c>
      <c r="D89" s="15" t="s">
        <v>393</v>
      </c>
      <c r="E89" s="15" t="s">
        <v>394</v>
      </c>
      <c r="F89" s="15" t="s">
        <v>395</v>
      </c>
      <c r="G89" s="17" t="s">
        <v>47</v>
      </c>
      <c r="H89" s="15"/>
      <c r="I89" s="14" t="s">
        <v>48</v>
      </c>
      <c r="J89" s="14"/>
    </row>
    <row r="90" spans="1:10" ht="36" customHeight="1" x14ac:dyDescent="0.3">
      <c r="A90" s="12">
        <v>87</v>
      </c>
      <c r="B90" s="13" t="s">
        <v>383</v>
      </c>
      <c r="C90" s="16" t="s">
        <v>396</v>
      </c>
      <c r="D90" s="13" t="s">
        <v>397</v>
      </c>
      <c r="E90" s="13" t="s">
        <v>398</v>
      </c>
      <c r="F90" s="13" t="s">
        <v>399</v>
      </c>
      <c r="G90" s="17" t="s">
        <v>47</v>
      </c>
      <c r="H90" s="13"/>
      <c r="I90" s="12" t="s">
        <v>48</v>
      </c>
      <c r="J90" s="12"/>
    </row>
    <row r="91" spans="1:10" ht="24" customHeight="1" x14ac:dyDescent="0.3">
      <c r="A91" s="14">
        <v>88</v>
      </c>
      <c r="B91" s="15" t="s">
        <v>383</v>
      </c>
      <c r="C91" s="18" t="s">
        <v>400</v>
      </c>
      <c r="D91" s="15" t="s">
        <v>401</v>
      </c>
      <c r="E91" s="15" t="s">
        <v>402</v>
      </c>
      <c r="F91" s="15" t="s">
        <v>403</v>
      </c>
      <c r="G91" s="17" t="s">
        <v>47</v>
      </c>
      <c r="H91" s="15"/>
      <c r="I91" s="14" t="s">
        <v>48</v>
      </c>
      <c r="J91" s="14"/>
    </row>
    <row r="92" spans="1:10" ht="36" customHeight="1" x14ac:dyDescent="0.3">
      <c r="A92" s="12">
        <v>89</v>
      </c>
      <c r="B92" s="13" t="s">
        <v>383</v>
      </c>
      <c r="C92" s="16" t="s">
        <v>404</v>
      </c>
      <c r="D92" s="13" t="s">
        <v>405</v>
      </c>
      <c r="E92" s="13" t="s">
        <v>406</v>
      </c>
      <c r="F92" s="13" t="s">
        <v>407</v>
      </c>
      <c r="G92" s="17" t="s">
        <v>47</v>
      </c>
      <c r="H92" s="13"/>
      <c r="I92" s="12" t="s">
        <v>48</v>
      </c>
      <c r="J92" s="12"/>
    </row>
    <row r="93" spans="1:10" ht="36" customHeight="1" x14ac:dyDescent="0.3">
      <c r="A93" s="14">
        <v>90</v>
      </c>
      <c r="B93" s="15" t="s">
        <v>383</v>
      </c>
      <c r="C93" s="18" t="s">
        <v>408</v>
      </c>
      <c r="D93" s="15" t="s">
        <v>409</v>
      </c>
      <c r="E93" s="15" t="s">
        <v>410</v>
      </c>
      <c r="F93" s="15" t="s">
        <v>411</v>
      </c>
      <c r="G93" s="17" t="s">
        <v>47</v>
      </c>
      <c r="H93" s="15"/>
      <c r="I93" s="14" t="s">
        <v>48</v>
      </c>
      <c r="J93" s="14"/>
    </row>
    <row r="94" spans="1:10" ht="24" customHeight="1" x14ac:dyDescent="0.3">
      <c r="A94" s="12">
        <v>91</v>
      </c>
      <c r="B94" s="13" t="s">
        <v>383</v>
      </c>
      <c r="C94" s="16" t="s">
        <v>412</v>
      </c>
      <c r="D94" s="13" t="s">
        <v>413</v>
      </c>
      <c r="E94" s="13" t="s">
        <v>414</v>
      </c>
      <c r="F94" s="13" t="s">
        <v>415</v>
      </c>
      <c r="G94" s="17" t="s">
        <v>47</v>
      </c>
      <c r="H94" s="13"/>
      <c r="I94" s="12" t="s">
        <v>48</v>
      </c>
      <c r="J94" s="12"/>
    </row>
    <row r="95" spans="1:10" ht="24" customHeight="1" x14ac:dyDescent="0.3">
      <c r="A95" s="14">
        <v>92</v>
      </c>
      <c r="B95" s="15" t="s">
        <v>383</v>
      </c>
      <c r="C95" s="18" t="s">
        <v>416</v>
      </c>
      <c r="D95" s="15" t="s">
        <v>417</v>
      </c>
      <c r="E95" s="15" t="s">
        <v>418</v>
      </c>
      <c r="F95" s="15" t="s">
        <v>419</v>
      </c>
      <c r="G95" s="17" t="s">
        <v>47</v>
      </c>
      <c r="H95" s="15"/>
      <c r="I95" s="14" t="s">
        <v>48</v>
      </c>
      <c r="J95" s="14"/>
    </row>
    <row r="96" spans="1:10" ht="24" customHeight="1" x14ac:dyDescent="0.3">
      <c r="A96" s="12">
        <v>93</v>
      </c>
      <c r="B96" s="13" t="s">
        <v>383</v>
      </c>
      <c r="C96" s="16" t="s">
        <v>420</v>
      </c>
      <c r="D96" s="13" t="s">
        <v>421</v>
      </c>
      <c r="E96" s="13" t="s">
        <v>422</v>
      </c>
      <c r="F96" s="13" t="s">
        <v>423</v>
      </c>
      <c r="G96" s="17" t="s">
        <v>47</v>
      </c>
      <c r="H96" s="13"/>
      <c r="I96" s="12" t="s">
        <v>48</v>
      </c>
      <c r="J96" s="12"/>
    </row>
    <row r="97" spans="1:10" ht="24" customHeight="1" x14ac:dyDescent="0.3">
      <c r="A97" s="14">
        <v>94</v>
      </c>
      <c r="B97" s="15" t="s">
        <v>383</v>
      </c>
      <c r="C97" s="18" t="s">
        <v>424</v>
      </c>
      <c r="D97" s="15" t="s">
        <v>425</v>
      </c>
      <c r="E97" s="15" t="s">
        <v>426</v>
      </c>
      <c r="F97" s="15" t="s">
        <v>427</v>
      </c>
      <c r="G97" s="17" t="s">
        <v>47</v>
      </c>
      <c r="H97" s="15"/>
      <c r="I97" s="14" t="s">
        <v>48</v>
      </c>
      <c r="J97" s="14"/>
    </row>
    <row r="98" spans="1:10" ht="36" customHeight="1" x14ac:dyDescent="0.3">
      <c r="A98" s="12">
        <v>95</v>
      </c>
      <c r="B98" s="13" t="s">
        <v>383</v>
      </c>
      <c r="C98" s="16" t="s">
        <v>428</v>
      </c>
      <c r="D98" s="13" t="s">
        <v>429</v>
      </c>
      <c r="E98" s="13" t="s">
        <v>430</v>
      </c>
      <c r="F98" s="13" t="s">
        <v>431</v>
      </c>
      <c r="G98" s="17" t="s">
        <v>47</v>
      </c>
      <c r="H98" s="13"/>
      <c r="I98" s="12" t="s">
        <v>48</v>
      </c>
      <c r="J98" s="12"/>
    </row>
    <row r="99" spans="1:10" ht="36" customHeight="1" x14ac:dyDescent="0.3">
      <c r="A99" s="14">
        <v>96</v>
      </c>
      <c r="B99" s="15" t="s">
        <v>383</v>
      </c>
      <c r="C99" s="18" t="s">
        <v>432</v>
      </c>
      <c r="D99" s="15" t="s">
        <v>433</v>
      </c>
      <c r="E99" s="15" t="s">
        <v>434</v>
      </c>
      <c r="F99" s="15" t="s">
        <v>435</v>
      </c>
      <c r="G99" s="17" t="s">
        <v>47</v>
      </c>
      <c r="H99" s="15"/>
      <c r="I99" s="14" t="s">
        <v>48</v>
      </c>
      <c r="J99" s="14"/>
    </row>
    <row r="100" spans="1:10" ht="36" customHeight="1" x14ac:dyDescent="0.3">
      <c r="A100" s="12">
        <v>97</v>
      </c>
      <c r="B100" s="13" t="s">
        <v>383</v>
      </c>
      <c r="C100" s="16" t="s">
        <v>436</v>
      </c>
      <c r="D100" s="13" t="s">
        <v>437</v>
      </c>
      <c r="E100" s="13" t="s">
        <v>438</v>
      </c>
      <c r="F100" s="13" t="s">
        <v>439</v>
      </c>
      <c r="G100" s="17" t="s">
        <v>47</v>
      </c>
      <c r="H100" s="13"/>
      <c r="I100" s="12" t="s">
        <v>48</v>
      </c>
      <c r="J100" s="12"/>
    </row>
    <row r="101" spans="1:10" ht="24" customHeight="1" x14ac:dyDescent="0.3">
      <c r="A101" s="14">
        <v>98</v>
      </c>
      <c r="B101" s="15" t="s">
        <v>383</v>
      </c>
      <c r="C101" s="18" t="s">
        <v>440</v>
      </c>
      <c r="D101" s="15" t="s">
        <v>441</v>
      </c>
      <c r="E101" s="15" t="s">
        <v>442</v>
      </c>
      <c r="F101" s="15" t="s">
        <v>443</v>
      </c>
      <c r="G101" s="17" t="s">
        <v>47</v>
      </c>
      <c r="H101" s="15"/>
      <c r="I101" s="14" t="s">
        <v>48</v>
      </c>
      <c r="J101" s="14"/>
    </row>
    <row r="102" spans="1:10" ht="36" customHeight="1" x14ac:dyDescent="0.3">
      <c r="A102" s="12">
        <v>99</v>
      </c>
      <c r="B102" s="13" t="s">
        <v>383</v>
      </c>
      <c r="C102" s="16" t="s">
        <v>444</v>
      </c>
      <c r="D102" s="13" t="s">
        <v>445</v>
      </c>
      <c r="E102" s="13" t="s">
        <v>446</v>
      </c>
      <c r="F102" s="13" t="s">
        <v>447</v>
      </c>
      <c r="G102" s="17" t="s">
        <v>47</v>
      </c>
      <c r="H102" s="13"/>
      <c r="I102" s="12" t="s">
        <v>48</v>
      </c>
      <c r="J102" s="12"/>
    </row>
    <row r="103" spans="1:10" ht="24" customHeight="1" x14ac:dyDescent="0.3">
      <c r="A103" s="14">
        <v>100</v>
      </c>
      <c r="B103" s="15" t="s">
        <v>383</v>
      </c>
      <c r="C103" s="18" t="s">
        <v>448</v>
      </c>
      <c r="D103" s="15" t="s">
        <v>449</v>
      </c>
      <c r="E103" s="15" t="s">
        <v>450</v>
      </c>
      <c r="F103" s="15" t="s">
        <v>451</v>
      </c>
      <c r="G103" s="17" t="s">
        <v>47</v>
      </c>
      <c r="H103" s="15"/>
      <c r="I103" s="14" t="s">
        <v>48</v>
      </c>
      <c r="J103" s="14"/>
    </row>
    <row r="104" spans="1:10" ht="24" customHeight="1" x14ac:dyDescent="0.3">
      <c r="A104" s="12">
        <v>101</v>
      </c>
      <c r="B104" s="13" t="s">
        <v>383</v>
      </c>
      <c r="C104" s="16" t="s">
        <v>452</v>
      </c>
      <c r="D104" s="13" t="s">
        <v>453</v>
      </c>
      <c r="E104" s="13" t="s">
        <v>454</v>
      </c>
      <c r="F104" s="13" t="s">
        <v>455</v>
      </c>
      <c r="G104" s="17" t="s">
        <v>47</v>
      </c>
      <c r="H104" s="13"/>
      <c r="I104" s="12" t="s">
        <v>48</v>
      </c>
      <c r="J104" s="12"/>
    </row>
    <row r="105" spans="1:10" ht="54" customHeight="1" x14ac:dyDescent="0.3">
      <c r="A105" s="14">
        <v>102</v>
      </c>
      <c r="B105" s="15" t="s">
        <v>383</v>
      </c>
      <c r="C105" s="18" t="s">
        <v>456</v>
      </c>
      <c r="D105" s="15" t="s">
        <v>457</v>
      </c>
      <c r="E105" s="15" t="s">
        <v>458</v>
      </c>
      <c r="F105" s="15" t="s">
        <v>459</v>
      </c>
      <c r="G105" s="17" t="s">
        <v>47</v>
      </c>
      <c r="H105" s="15"/>
      <c r="I105" s="14" t="s">
        <v>48</v>
      </c>
      <c r="J105" s="14"/>
    </row>
    <row r="106" spans="1:10" ht="24" customHeight="1" x14ac:dyDescent="0.3">
      <c r="A106" s="12">
        <v>103</v>
      </c>
      <c r="B106" s="13" t="s">
        <v>383</v>
      </c>
      <c r="C106" s="16" t="s">
        <v>460</v>
      </c>
      <c r="D106" s="13" t="s">
        <v>461</v>
      </c>
      <c r="E106" s="13" t="s">
        <v>462</v>
      </c>
      <c r="F106" s="13" t="s">
        <v>463</v>
      </c>
      <c r="G106" s="17" t="s">
        <v>47</v>
      </c>
      <c r="H106" s="13"/>
      <c r="I106" s="12" t="s">
        <v>48</v>
      </c>
      <c r="J106" s="12"/>
    </row>
    <row r="107" spans="1:10" ht="36" customHeight="1" x14ac:dyDescent="0.3">
      <c r="A107" s="14">
        <v>104</v>
      </c>
      <c r="B107" s="15" t="s">
        <v>464</v>
      </c>
      <c r="C107" s="18" t="s">
        <v>465</v>
      </c>
      <c r="D107" s="15" t="s">
        <v>466</v>
      </c>
      <c r="E107" s="15" t="s">
        <v>467</v>
      </c>
      <c r="F107" s="15" t="s">
        <v>468</v>
      </c>
      <c r="G107" s="17" t="s">
        <v>47</v>
      </c>
      <c r="H107" s="15"/>
      <c r="I107" s="14" t="s">
        <v>48</v>
      </c>
      <c r="J107" s="14"/>
    </row>
    <row r="108" spans="1:10" ht="36" customHeight="1" x14ac:dyDescent="0.3">
      <c r="A108" s="12">
        <v>105</v>
      </c>
      <c r="B108" s="13" t="s">
        <v>464</v>
      </c>
      <c r="C108" s="16" t="s">
        <v>469</v>
      </c>
      <c r="D108" s="13" t="s">
        <v>470</v>
      </c>
      <c r="E108" s="13" t="s">
        <v>471</v>
      </c>
      <c r="F108" s="13" t="s">
        <v>472</v>
      </c>
      <c r="G108" s="17" t="s">
        <v>47</v>
      </c>
      <c r="H108" s="13"/>
      <c r="I108" s="12" t="s">
        <v>48</v>
      </c>
      <c r="J108" s="12"/>
    </row>
    <row r="109" spans="1:10" ht="36" customHeight="1" x14ac:dyDescent="0.3">
      <c r="A109" s="14">
        <v>106</v>
      </c>
      <c r="B109" s="15" t="s">
        <v>464</v>
      </c>
      <c r="C109" s="18" t="s">
        <v>473</v>
      </c>
      <c r="D109" s="15" t="s">
        <v>474</v>
      </c>
      <c r="E109" s="15" t="s">
        <v>475</v>
      </c>
      <c r="F109" s="15" t="s">
        <v>476</v>
      </c>
      <c r="G109" s="17" t="s">
        <v>47</v>
      </c>
      <c r="H109" s="15"/>
      <c r="I109" s="14" t="s">
        <v>48</v>
      </c>
      <c r="J109" s="14"/>
    </row>
    <row r="110" spans="1:10" ht="36" customHeight="1" x14ac:dyDescent="0.3">
      <c r="A110" s="12">
        <v>107</v>
      </c>
      <c r="B110" s="13" t="s">
        <v>464</v>
      </c>
      <c r="C110" s="16" t="s">
        <v>477</v>
      </c>
      <c r="D110" s="13" t="s">
        <v>478</v>
      </c>
      <c r="E110" s="13" t="s">
        <v>479</v>
      </c>
      <c r="F110" s="13" t="s">
        <v>480</v>
      </c>
      <c r="G110" s="17" t="s">
        <v>47</v>
      </c>
      <c r="H110" s="13"/>
      <c r="I110" s="12" t="s">
        <v>48</v>
      </c>
      <c r="J110" s="12"/>
    </row>
    <row r="111" spans="1:10" ht="36" customHeight="1" x14ac:dyDescent="0.3">
      <c r="A111" s="14">
        <v>108</v>
      </c>
      <c r="B111" s="15" t="s">
        <v>464</v>
      </c>
      <c r="C111" s="18" t="s">
        <v>481</v>
      </c>
      <c r="D111" s="15" t="s">
        <v>482</v>
      </c>
      <c r="E111" s="15" t="s">
        <v>483</v>
      </c>
      <c r="F111" s="15" t="s">
        <v>484</v>
      </c>
      <c r="G111" s="17" t="s">
        <v>47</v>
      </c>
      <c r="H111" s="15"/>
      <c r="I111" s="14" t="s">
        <v>48</v>
      </c>
      <c r="J111" s="14"/>
    </row>
    <row r="112" spans="1:10" ht="24" customHeight="1" x14ac:dyDescent="0.3">
      <c r="A112" s="12">
        <v>109</v>
      </c>
      <c r="B112" s="13" t="s">
        <v>464</v>
      </c>
      <c r="C112" s="16" t="s">
        <v>485</v>
      </c>
      <c r="D112" s="13" t="s">
        <v>486</v>
      </c>
      <c r="E112" s="13" t="s">
        <v>487</v>
      </c>
      <c r="F112" s="13" t="s">
        <v>488</v>
      </c>
      <c r="G112" s="17" t="s">
        <v>47</v>
      </c>
      <c r="H112" s="13"/>
      <c r="I112" s="12" t="s">
        <v>48</v>
      </c>
      <c r="J112" s="12"/>
    </row>
    <row r="113" spans="1:10" ht="54" customHeight="1" x14ac:dyDescent="0.3">
      <c r="A113" s="14">
        <v>110</v>
      </c>
      <c r="B113" s="15" t="s">
        <v>489</v>
      </c>
      <c r="C113" s="18" t="s">
        <v>490</v>
      </c>
      <c r="D113" s="15" t="s">
        <v>491</v>
      </c>
      <c r="E113" s="15" t="s">
        <v>492</v>
      </c>
      <c r="F113" s="15" t="s">
        <v>493</v>
      </c>
      <c r="G113" s="17" t="s">
        <v>47</v>
      </c>
      <c r="H113" s="15"/>
      <c r="I113" s="14" t="s">
        <v>48</v>
      </c>
      <c r="J113" s="14"/>
    </row>
    <row r="114" spans="1:10" ht="36" customHeight="1" x14ac:dyDescent="0.3">
      <c r="A114" s="12">
        <v>111</v>
      </c>
      <c r="B114" s="13" t="s">
        <v>489</v>
      </c>
      <c r="C114" s="16" t="s">
        <v>494</v>
      </c>
      <c r="D114" s="13" t="s">
        <v>495</v>
      </c>
      <c r="E114" s="13" t="s">
        <v>496</v>
      </c>
      <c r="F114" s="13" t="s">
        <v>497</v>
      </c>
      <c r="G114" s="17" t="s">
        <v>47</v>
      </c>
      <c r="H114" s="13"/>
      <c r="I114" s="12" t="s">
        <v>48</v>
      </c>
      <c r="J114" s="12"/>
    </row>
  </sheetData>
  <dataValidations count="1">
    <dataValidation type="list" allowBlank="1" errorTitle="Invalid Status" error="Your entry is not valid" promptTitle="Test Status" prompt="Choose PASS, FAIL, BLOCKED, or PENDING"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xr:uid="{00000000-0002-0000-0100-000000000000}">
      <formula1>"PASS,FAIL,BLOCKED,PENDING"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Master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it2.inhyma@gmail.com</cp:lastModifiedBy>
  <dcterms:created xsi:type="dcterms:W3CDTF">2026-10-06T05:57:17Z</dcterms:created>
  <dcterms:modified xsi:type="dcterms:W3CDTF">2026-10-06T06:46:59Z</dcterms:modified>
</cp:coreProperties>
</file>